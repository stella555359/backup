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A\docs\"/>
    </mc:Choice>
  </mc:AlternateContent>
  <xr:revisionPtr revIDLastSave="0" documentId="8_{59762A32-2BD8-44F7-AB90-5E97BBC362E0}" xr6:coauthVersionLast="47" xr6:coauthVersionMax="47" xr10:uidLastSave="{00000000-0000-0000-0000-000000000000}"/>
  <bookViews>
    <workbookView xWindow="-110" yWindow="-110" windowWidth="19420" windowHeight="11500" xr2:uid="{B65C7861-086B-4A37-B6C8-DC36B6226F39}"/>
  </bookViews>
  <sheets>
    <sheet name="使用说明" sheetId="4" r:id="rId1"/>
    <sheet name="班级名单" sheetId="3" r:id="rId2"/>
    <sheet name="收支明细" sheetId="2" r:id="rId3"/>
    <sheet name="个人汇总" sheetId="1" r:id="rId4"/>
  </sheets>
  <definedNames>
    <definedName name="姓名列表">班级名单!$B$2:$B$44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5" i="1" l="1"/>
  <c r="E45" i="1"/>
  <c r="D45" i="1"/>
  <c r="C45" i="1"/>
  <c r="G44" i="1"/>
  <c r="F44" i="1"/>
  <c r="E44" i="1"/>
  <c r="D44" i="1"/>
  <c r="C44" i="1"/>
  <c r="G43" i="1"/>
  <c r="F43" i="1"/>
  <c r="E43" i="1"/>
  <c r="D43" i="1"/>
  <c r="C43" i="1"/>
  <c r="G42" i="1"/>
  <c r="F42" i="1"/>
  <c r="E42" i="1"/>
  <c r="D42" i="1"/>
  <c r="C42" i="1"/>
  <c r="G41" i="1"/>
  <c r="F41" i="1"/>
  <c r="E41" i="1"/>
  <c r="D41" i="1"/>
  <c r="C41" i="1"/>
  <c r="G40" i="1"/>
  <c r="F40" i="1"/>
  <c r="E40" i="1"/>
  <c r="D40" i="1"/>
  <c r="C40" i="1"/>
  <c r="G39" i="1"/>
  <c r="F39" i="1"/>
  <c r="E39" i="1"/>
  <c r="D39" i="1"/>
  <c r="C39" i="1"/>
  <c r="G38" i="1"/>
  <c r="F38" i="1"/>
  <c r="E38" i="1"/>
  <c r="D38" i="1"/>
  <c r="C38" i="1"/>
  <c r="G37" i="1"/>
  <c r="F37" i="1"/>
  <c r="E37" i="1"/>
  <c r="D37" i="1"/>
  <c r="C37" i="1"/>
  <c r="G36" i="1"/>
  <c r="F36" i="1"/>
  <c r="E36" i="1"/>
  <c r="D36" i="1"/>
  <c r="C36" i="1"/>
  <c r="G35" i="1"/>
  <c r="F35" i="1"/>
  <c r="E35" i="1"/>
  <c r="D35" i="1"/>
  <c r="C35" i="1"/>
  <c r="G34" i="1"/>
  <c r="F34" i="1"/>
  <c r="E34" i="1"/>
  <c r="D34" i="1"/>
  <c r="C34" i="1"/>
  <c r="G33" i="1"/>
  <c r="F33" i="1"/>
  <c r="E33" i="1"/>
  <c r="D33" i="1"/>
  <c r="C33" i="1"/>
  <c r="G32" i="1"/>
  <c r="F32" i="1"/>
  <c r="E32" i="1"/>
  <c r="D32" i="1"/>
  <c r="C32" i="1"/>
  <c r="G31" i="1"/>
  <c r="F31" i="1"/>
  <c r="E31" i="1"/>
  <c r="D31" i="1"/>
  <c r="C31" i="1"/>
  <c r="G30" i="1"/>
  <c r="F30" i="1"/>
  <c r="E30" i="1"/>
  <c r="D30" i="1"/>
  <c r="C30" i="1"/>
  <c r="G29" i="1"/>
  <c r="F29" i="1"/>
  <c r="E29" i="1"/>
  <c r="D29" i="1"/>
  <c r="C29" i="1"/>
  <c r="G28" i="1"/>
  <c r="F28" i="1"/>
  <c r="E28" i="1"/>
  <c r="D28" i="1"/>
  <c r="C28" i="1"/>
  <c r="G27" i="1"/>
  <c r="F27" i="1"/>
  <c r="E27" i="1"/>
  <c r="D27" i="1"/>
  <c r="C27" i="1"/>
  <c r="G26" i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G4" i="1"/>
  <c r="F4" i="1"/>
  <c r="E4" i="1"/>
  <c r="D4" i="1"/>
  <c r="C4" i="1"/>
  <c r="G3" i="1"/>
  <c r="F3" i="1"/>
  <c r="E3" i="1"/>
  <c r="D3" i="1"/>
  <c r="C3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<sst xmlns="http://schemas.openxmlformats.org/spreadsheetml/2006/main" count="118" uniqueCount="72">
  <si>
    <t>班级家委会财务记账簿</t>
  </si>
  <si>
    <t>使用步骤</t>
  </si>
  <si>
    <t>1. 每发生一笔收支，在“收支明细”新增一行。</t>
  </si>
  <si>
    <t>填写规则</t>
  </si>
  <si>
    <t>2. 收入填写“收入金额”，支出填写“支出金额”，另一栏留空。</t>
  </si>
  <si>
    <t>自动汇总</t>
  </si>
  <si>
    <t>3. “个人汇总”会按姓名自动统计收入、支出、余额和笔数。</t>
  </si>
  <si>
    <t>凭证管理</t>
  </si>
  <si>
    <t>4. 建议填写凭证编号，并保留收据、转账截图或发票。</t>
  </si>
  <si>
    <t>名单范围</t>
  </si>
  <si>
    <t>当前依据截图中可见的第1–43名建立；其余名单可继续添加。</t>
  </si>
  <si>
    <t>余额口径</t>
  </si>
  <si>
    <t>余额 = 累计收入 - 累计支出。</t>
  </si>
  <si>
    <t>序号</t>
  </si>
  <si>
    <t>姓名</t>
  </si>
  <si>
    <t>包亦宸</t>
  </si>
  <si>
    <t>陈又可</t>
  </si>
  <si>
    <t>陈洁言</t>
  </si>
  <si>
    <t>陈曦</t>
  </si>
  <si>
    <t>陈骐跃</t>
  </si>
  <si>
    <t>程翔嘉</t>
  </si>
  <si>
    <t>丁彦清</t>
  </si>
  <si>
    <t>丁思佳</t>
  </si>
  <si>
    <t>傅沛霖</t>
  </si>
  <si>
    <t>方允</t>
  </si>
  <si>
    <t>范重南</t>
  </si>
  <si>
    <t>黄萌琦</t>
  </si>
  <si>
    <t>黄雨潇</t>
  </si>
  <si>
    <t>胡子华</t>
  </si>
  <si>
    <t>胡清芷</t>
  </si>
  <si>
    <t>纪瑞希</t>
  </si>
  <si>
    <t>孔君泽</t>
  </si>
  <si>
    <t>孔嘉禾</t>
  </si>
  <si>
    <t>刘锋之</t>
  </si>
  <si>
    <t>李冠臣</t>
  </si>
  <si>
    <t>李恒屹</t>
  </si>
  <si>
    <t>李承龙</t>
  </si>
  <si>
    <t>孟书名</t>
  </si>
  <si>
    <t>秦恩诺</t>
  </si>
  <si>
    <t>孙昊凡</t>
  </si>
  <si>
    <t>孙雯艳</t>
  </si>
  <si>
    <t>苏显元</t>
  </si>
  <si>
    <t>石以安</t>
  </si>
  <si>
    <t>徐优悠</t>
  </si>
  <si>
    <t>吴伊诺</t>
  </si>
  <si>
    <t>王泉策</t>
  </si>
  <si>
    <t>王隽诺</t>
  </si>
  <si>
    <t>叶振宸</t>
  </si>
  <si>
    <t>叶逸凡</t>
  </si>
  <si>
    <t>尹若冲</t>
  </si>
  <si>
    <t>虞梓豪</t>
  </si>
  <si>
    <t>杨烁书</t>
  </si>
  <si>
    <t>张靖萱</t>
  </si>
  <si>
    <t>张钰琳</t>
  </si>
  <si>
    <t>周泓希</t>
  </si>
  <si>
    <t>周秋羽</t>
  </si>
  <si>
    <t>卓宇铎</t>
  </si>
  <si>
    <t>赵修毅</t>
  </si>
  <si>
    <t>日期</t>
  </si>
  <si>
    <t>事项/用途</t>
  </si>
  <si>
    <t>收入金额（元）</t>
  </si>
  <si>
    <t>支出金额（元）</t>
  </si>
  <si>
    <t>支付方式</t>
  </si>
  <si>
    <t>经办人</t>
  </si>
  <si>
    <t>凭证编号</t>
  </si>
  <si>
    <t>备注</t>
  </si>
  <si>
    <t>累计收入（元）</t>
  </si>
  <si>
    <t>累计支出（元）</t>
  </si>
  <si>
    <t>当前余额（元）</t>
  </si>
  <si>
    <t>收支笔数</t>
  </si>
  <si>
    <t>最近记账日期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</si>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</sst>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&quot;¥&quot;#,##0.00;[Red]\-&quot;¥&quot;#,##0.00"/>
  </numFmts>
  <fonts count="5" x14ac:knownFonts="1">
    <font>
      <sz val="11"/>
      <color theme="1"/>
      <name val="等线"/>
      <family val="2"/>
      <charset val="134"/>
      <scheme val="minor"/>
    </font>
    <font>
      <b/>
      <sz val="18"/>
      <color rgb="FFFFFFFF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28E9C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>
      <alignment vertical="center"/>
    </xf>
    <xf numFmtId="0" fontId="2" fillId="3" borderId="1" xfId="0" applyFont="1" applyFill="1" applyBorder="1">
      <alignment vertical="center"/>
    </xf>
    <xf numFmtId="0" fontId="0" fillId="0" borderId="1" xfId="0" applyBorder="1">
      <alignment vertical="center"/>
    </xf>
    <xf numFmtId="0" fontId="3" fillId="2" borderId="0" xfId="0" applyFont="1" applyFill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等线"/>
        <family val="3"/>
        <charset val="134"/>
        <scheme val="minor"/>
      </font>
      <fill>
        <patternFill patternType="solid">
          <fgColor indexed="64"/>
          <bgColor rgb="FF428E9C"/>
        </patternFill>
      </fill>
    </dxf>
    <dxf>
      <numFmt numFmtId="176" formatCode="yyyy\-mm\-dd"/>
    </dxf>
    <dxf>
      <numFmt numFmtId="177" formatCode="&quot;¥&quot;#,##0.00;[Red]\-&quot;¥&quot;#,##0.00"/>
    </dxf>
    <dxf>
      <numFmt numFmtId="177" formatCode="&quot;¥&quot;#,##0.00;[Red]\-&quot;¥&quot;#,##0.00"/>
    </dxf>
    <dxf>
      <numFmt numFmtId="177" formatCode="&quot;¥&quot;#,##0.00;[Red]\-&quot;¥&quot;#,##0.00"/>
    </dxf>
    <dxf>
      <numFmt numFmtId="177" formatCode="&quot;¥&quot;#,##0.00;[Red]\-&quot;¥&quot;#,##0.00"/>
    </dxf>
    <dxf>
      <numFmt numFmtId="177" formatCode="&quot;¥&quot;#,##0.00;[Red]\-&quot;¥&quot;#,##0.00"/>
    </dxf>
    <dxf>
      <numFmt numFmtId="176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等线"/>
        <family val="3"/>
        <charset val="134"/>
        <scheme val="minor"/>
      </font>
      <fill>
        <patternFill patternType="solid">
          <fgColor indexed="64"/>
          <bgColor rgb="FF428E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等线"/>
        <family val="3"/>
        <charset val="134"/>
        <scheme val="minor"/>
      </font>
      <fill>
        <patternFill patternType="solid">
          <fgColor indexed="64"/>
          <bgColor rgb="FF428E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9C8D9B-997B-4A37-AC72-A9CF737F55DD}" name="班级名单表" displayName="班级名单表" ref="A1:B44" totalsRowShown="0" headerRowDxfId="9">
  <autoFilter ref="A1:B44" xr:uid="{459C8D9B-997B-4A37-AC72-A9CF737F55DD}"/>
  <tableColumns count="2">
    <tableColumn id="1" xr3:uid="{AE799209-7C91-408B-928D-65190023C663}" name="序号"/>
    <tableColumn id="2" xr3:uid="{D52E5E42-11A8-4859-8795-32583F00C19A}" name="姓名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76B520-BE65-4140-B0EC-7E80616E9481}" name="收支明细表" displayName="收支明细表" ref="A1:I501" totalsRowShown="0" headerRowDxfId="8">
  <autoFilter ref="A1:I501" xr:uid="{7976B520-BE65-4140-B0EC-7E80616E9481}"/>
  <tableColumns count="9">
    <tableColumn id="1" xr3:uid="{4146C43F-7423-4E6E-90EC-42315995C60A}" name="日期" dataDxfId="7"/>
    <tableColumn id="2" xr3:uid="{E46F2DE9-1560-4FEE-845B-D4F6094BF33F}" name="姓名"/>
    <tableColumn id="3" xr3:uid="{8E503EBC-8B53-4A9F-9F08-D13D8B7DA2B3}" name="事项/用途"/>
    <tableColumn id="4" xr3:uid="{717E4AEE-4540-4FC3-A59B-34A0E29425A3}" name="收入金额（元）" dataDxfId="6"/>
    <tableColumn id="5" xr3:uid="{28B8750F-A871-4377-961C-5D79BF3C5759}" name="支出金额（元）" dataDxfId="5"/>
    <tableColumn id="6" xr3:uid="{AE4C97B0-D283-4633-AF35-06E8A3E50343}" name="支付方式"/>
    <tableColumn id="7" xr3:uid="{7BEB2915-2C17-4400-BD5B-82D30522DBA2}" name="经办人"/>
    <tableColumn id="8" xr3:uid="{5B5E4478-9D5D-45E5-9480-7605B451F18A}" name="凭证编号"/>
    <tableColumn id="9" xr3:uid="{9270238A-F148-43F2-A169-AB7707045746}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805370-2AA8-4143-88DE-1B993B8F9C90}" name="个人汇总表" displayName="个人汇总表" ref="A1:G44" totalsRowShown="0" headerRowDxfId="0">
  <autoFilter ref="A1:G44" xr:uid="{63805370-2AA8-4143-88DE-1B993B8F9C90}"/>
  <tableColumns count="7">
    <tableColumn id="1" xr3:uid="{FEFE38C9-EA30-4DA3-98BE-4F9D784BFDF9}" name="序号"/>
    <tableColumn id="2" xr3:uid="{5F8AD423-DEF9-4A3A-82FD-049AACAFAEF3}" name="姓名"/>
    <tableColumn id="3" xr3:uid="{5F4CBEDC-2743-40E3-98B0-4C1F9188DB9D}" name="累计收入（元）" dataDxfId="4">
      <calculatedColumnFormula>SUMIFS(收支明细!D:D,收支明细!B:B,B2)</calculatedColumnFormula>
    </tableColumn>
    <tableColumn id="4" xr3:uid="{97D1A5B9-D8D5-47C9-B3C2-DA0E7AF04F9B}" name="累计支出（元）" dataDxfId="3">
      <calculatedColumnFormula>SUMIFS(收支明细!E:E,收支明细!B:B,B2)</calculatedColumnFormula>
    </tableColumn>
    <tableColumn id="5" xr3:uid="{CBE45A53-4D37-414D-8672-FB1C6083DDB8}" name="当前余额（元）" dataDxfId="2">
      <calculatedColumnFormula>C2-D2</calculatedColumnFormula>
    </tableColumn>
    <tableColumn id="6" xr3:uid="{D2AF56CA-CE18-4FD8-8428-1362166B6E5D}" name="收支笔数">
      <calculatedColumnFormula>COUNTIF(收支明细!B:B,B2)</calculatedColumnFormula>
    </tableColumn>
    <tableColumn id="7" xr3:uid="{856D1AD1-FE8F-40BF-A877-996E70846DC7}" name="最近记账日期" dataDxfId="1">
      <calculatedColumnFormula>IFERROR(_xlfn.AGGREGATE(14,6,收支明细!A$2:A$501/(收支明细!B$2:B$501=B2),1),"")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966E6-CCE4-48B8-8402-BC184197ED9A}">
  <dimension ref="A1:F8"/>
  <sheetViews>
    <sheetView showGridLines="0" tabSelected="1" workbookViewId="0">
      <selection sqref="A1:F1"/>
    </sheetView>
  </sheetViews>
  <sheetFormatPr defaultRowHeight="14" x14ac:dyDescent="0.3"/>
  <cols>
    <col min="1" max="1" width="14.58203125" customWidth="1"/>
    <col min="2" max="6" width="18.58203125" customWidth="1"/>
  </cols>
  <sheetData>
    <row r="1" spans="1:6" ht="22.5" x14ac:dyDescent="0.3">
      <c r="A1" s="2" t="s">
        <v>0</v>
      </c>
      <c r="B1" s="1"/>
      <c r="C1" s="1"/>
      <c r="D1" s="1"/>
      <c r="E1" s="1"/>
      <c r="F1" s="1"/>
    </row>
    <row r="3" spans="1:6" ht="26" customHeight="1" x14ac:dyDescent="0.3">
      <c r="A3" s="4" t="s">
        <v>1</v>
      </c>
      <c r="B3" s="5" t="s">
        <v>2</v>
      </c>
      <c r="C3" s="5"/>
      <c r="D3" s="5"/>
      <c r="E3" s="5"/>
      <c r="F3" s="5"/>
    </row>
    <row r="4" spans="1:6" ht="26" customHeight="1" x14ac:dyDescent="0.3">
      <c r="A4" s="4" t="s">
        <v>3</v>
      </c>
      <c r="B4" s="5" t="s">
        <v>4</v>
      </c>
      <c r="C4" s="5"/>
      <c r="D4" s="5"/>
      <c r="E4" s="5"/>
      <c r="F4" s="5"/>
    </row>
    <row r="5" spans="1:6" ht="26" customHeight="1" x14ac:dyDescent="0.3">
      <c r="A5" s="4" t="s">
        <v>5</v>
      </c>
      <c r="B5" s="5" t="s">
        <v>6</v>
      </c>
      <c r="C5" s="5"/>
      <c r="D5" s="5"/>
      <c r="E5" s="5"/>
      <c r="F5" s="5"/>
    </row>
    <row r="6" spans="1:6" ht="26" customHeight="1" x14ac:dyDescent="0.3">
      <c r="A6" s="4" t="s">
        <v>7</v>
      </c>
      <c r="B6" s="5" t="s">
        <v>8</v>
      </c>
      <c r="C6" s="5"/>
      <c r="D6" s="5"/>
      <c r="E6" s="5"/>
      <c r="F6" s="5"/>
    </row>
    <row r="7" spans="1:6" ht="26" customHeight="1" x14ac:dyDescent="0.3">
      <c r="A7" s="4" t="s">
        <v>9</v>
      </c>
      <c r="B7" s="5" t="s">
        <v>10</v>
      </c>
      <c r="C7" s="5"/>
      <c r="D7" s="5"/>
      <c r="E7" s="5"/>
      <c r="F7" s="5"/>
    </row>
    <row r="8" spans="1:6" ht="26" customHeight="1" x14ac:dyDescent="0.3">
      <c r="A8" s="4" t="s">
        <v>11</v>
      </c>
      <c r="B8" s="5" t="s">
        <v>12</v>
      </c>
      <c r="C8" s="5"/>
      <c r="D8" s="5"/>
      <c r="E8" s="5"/>
      <c r="F8" s="5"/>
    </row>
  </sheetData>
  <mergeCells count="1">
    <mergeCell ref="A1:F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6B890-C328-4507-99C9-5F127A67FA7A}">
  <dimension ref="A1:B44"/>
  <sheetViews>
    <sheetView showGridLines="0" workbookViewId="0">
      <pane ySplit="1" topLeftCell="A2" activePane="bottomLeft" state="frozenSplit"/>
      <selection pane="bottomLeft"/>
    </sheetView>
  </sheetViews>
  <sheetFormatPr defaultRowHeight="14" x14ac:dyDescent="0.3"/>
  <cols>
    <col min="1" max="1" width="10.58203125" customWidth="1"/>
    <col min="2" max="2" width="16.58203125" customWidth="1"/>
  </cols>
  <sheetData>
    <row r="1" spans="1:2" x14ac:dyDescent="0.3">
      <c r="A1" s="6" t="s">
        <v>13</v>
      </c>
      <c r="B1" s="6" t="s">
        <v>14</v>
      </c>
    </row>
    <row r="2" spans="1:2" x14ac:dyDescent="0.3">
      <c r="A2">
        <v>1</v>
      </c>
      <c r="B2" t="s">
        <v>15</v>
      </c>
    </row>
    <row r="3" spans="1:2" x14ac:dyDescent="0.3">
      <c r="A3">
        <v>2</v>
      </c>
      <c r="B3" t="s">
        <v>16</v>
      </c>
    </row>
    <row r="4" spans="1:2" x14ac:dyDescent="0.3">
      <c r="A4">
        <v>3</v>
      </c>
      <c r="B4" t="s">
        <v>17</v>
      </c>
    </row>
    <row r="5" spans="1:2" x14ac:dyDescent="0.3">
      <c r="A5">
        <v>4</v>
      </c>
      <c r="B5" t="s">
        <v>18</v>
      </c>
    </row>
    <row r="6" spans="1:2" x14ac:dyDescent="0.3">
      <c r="A6">
        <v>5</v>
      </c>
      <c r="B6" t="s">
        <v>19</v>
      </c>
    </row>
    <row r="7" spans="1:2" x14ac:dyDescent="0.3">
      <c r="A7">
        <v>6</v>
      </c>
      <c r="B7" t="s">
        <v>20</v>
      </c>
    </row>
    <row r="8" spans="1:2" x14ac:dyDescent="0.3">
      <c r="A8">
        <v>7</v>
      </c>
      <c r="B8" t="s">
        <v>21</v>
      </c>
    </row>
    <row r="9" spans="1:2" x14ac:dyDescent="0.3">
      <c r="A9">
        <v>8</v>
      </c>
      <c r="B9" t="s">
        <v>22</v>
      </c>
    </row>
    <row r="10" spans="1:2" x14ac:dyDescent="0.3">
      <c r="A10">
        <v>9</v>
      </c>
      <c r="B10" t="s">
        <v>23</v>
      </c>
    </row>
    <row r="11" spans="1:2" x14ac:dyDescent="0.3">
      <c r="A11">
        <v>10</v>
      </c>
      <c r="B11" t="s">
        <v>24</v>
      </c>
    </row>
    <row r="12" spans="1:2" x14ac:dyDescent="0.3">
      <c r="A12">
        <v>11</v>
      </c>
      <c r="B12" t="s">
        <v>25</v>
      </c>
    </row>
    <row r="13" spans="1:2" x14ac:dyDescent="0.3">
      <c r="A13">
        <v>12</v>
      </c>
      <c r="B13" t="s">
        <v>26</v>
      </c>
    </row>
    <row r="14" spans="1:2" x14ac:dyDescent="0.3">
      <c r="A14">
        <v>13</v>
      </c>
      <c r="B14" t="s">
        <v>27</v>
      </c>
    </row>
    <row r="15" spans="1:2" x14ac:dyDescent="0.3">
      <c r="A15">
        <v>14</v>
      </c>
      <c r="B15" t="s">
        <v>28</v>
      </c>
    </row>
    <row r="16" spans="1:2" x14ac:dyDescent="0.3">
      <c r="A16">
        <v>15</v>
      </c>
      <c r="B16" t="s">
        <v>29</v>
      </c>
    </row>
    <row r="17" spans="1:2" x14ac:dyDescent="0.3">
      <c r="A17">
        <v>16</v>
      </c>
      <c r="B17" t="s">
        <v>30</v>
      </c>
    </row>
    <row r="18" spans="1:2" x14ac:dyDescent="0.3">
      <c r="A18">
        <v>17</v>
      </c>
      <c r="B18" t="s">
        <v>31</v>
      </c>
    </row>
    <row r="19" spans="1:2" x14ac:dyDescent="0.3">
      <c r="A19">
        <v>18</v>
      </c>
      <c r="B19" t="s">
        <v>32</v>
      </c>
    </row>
    <row r="20" spans="1:2" x14ac:dyDescent="0.3">
      <c r="A20">
        <v>19</v>
      </c>
      <c r="B20" t="s">
        <v>33</v>
      </c>
    </row>
    <row r="21" spans="1:2" x14ac:dyDescent="0.3">
      <c r="A21">
        <v>20</v>
      </c>
      <c r="B21" t="s">
        <v>34</v>
      </c>
    </row>
    <row r="22" spans="1:2" x14ac:dyDescent="0.3">
      <c r="A22">
        <v>21</v>
      </c>
      <c r="B22" t="s">
        <v>35</v>
      </c>
    </row>
    <row r="23" spans="1:2" x14ac:dyDescent="0.3">
      <c r="A23">
        <v>22</v>
      </c>
      <c r="B23" t="s">
        <v>36</v>
      </c>
    </row>
    <row r="24" spans="1:2" x14ac:dyDescent="0.3">
      <c r="A24">
        <v>23</v>
      </c>
      <c r="B24" t="s">
        <v>37</v>
      </c>
    </row>
    <row r="25" spans="1:2" x14ac:dyDescent="0.3">
      <c r="A25">
        <v>24</v>
      </c>
      <c r="B25" t="s">
        <v>38</v>
      </c>
    </row>
    <row r="26" spans="1:2" x14ac:dyDescent="0.3">
      <c r="A26">
        <v>25</v>
      </c>
      <c r="B26" t="s">
        <v>39</v>
      </c>
    </row>
    <row r="27" spans="1:2" x14ac:dyDescent="0.3">
      <c r="A27">
        <v>26</v>
      </c>
      <c r="B27" t="s">
        <v>40</v>
      </c>
    </row>
    <row r="28" spans="1:2" x14ac:dyDescent="0.3">
      <c r="A28">
        <v>27</v>
      </c>
      <c r="B28" t="s">
        <v>41</v>
      </c>
    </row>
    <row r="29" spans="1:2" x14ac:dyDescent="0.3">
      <c r="A29">
        <v>28</v>
      </c>
      <c r="B29" t="s">
        <v>42</v>
      </c>
    </row>
    <row r="30" spans="1:2" x14ac:dyDescent="0.3">
      <c r="A30">
        <v>29</v>
      </c>
      <c r="B30" t="s">
        <v>43</v>
      </c>
    </row>
    <row r="31" spans="1:2" x14ac:dyDescent="0.3">
      <c r="A31">
        <v>30</v>
      </c>
      <c r="B31" t="s">
        <v>44</v>
      </c>
    </row>
    <row r="32" spans="1:2" x14ac:dyDescent="0.3">
      <c r="A32">
        <v>31</v>
      </c>
      <c r="B32" t="s">
        <v>45</v>
      </c>
    </row>
    <row r="33" spans="1:2" x14ac:dyDescent="0.3">
      <c r="A33">
        <v>32</v>
      </c>
      <c r="B33" t="s">
        <v>46</v>
      </c>
    </row>
    <row r="34" spans="1:2" x14ac:dyDescent="0.3">
      <c r="A34">
        <v>33</v>
      </c>
      <c r="B34" t="s">
        <v>47</v>
      </c>
    </row>
    <row r="35" spans="1:2" x14ac:dyDescent="0.3">
      <c r="A35">
        <v>34</v>
      </c>
      <c r="B35" t="s">
        <v>48</v>
      </c>
    </row>
    <row r="36" spans="1:2" x14ac:dyDescent="0.3">
      <c r="A36">
        <v>35</v>
      </c>
      <c r="B36" t="s">
        <v>49</v>
      </c>
    </row>
    <row r="37" spans="1:2" x14ac:dyDescent="0.3">
      <c r="A37">
        <v>36</v>
      </c>
      <c r="B37" t="s">
        <v>50</v>
      </c>
    </row>
    <row r="38" spans="1:2" x14ac:dyDescent="0.3">
      <c r="A38">
        <v>37</v>
      </c>
      <c r="B38" t="s">
        <v>51</v>
      </c>
    </row>
    <row r="39" spans="1:2" x14ac:dyDescent="0.3">
      <c r="A39">
        <v>38</v>
      </c>
      <c r="B39" t="s">
        <v>52</v>
      </c>
    </row>
    <row r="40" spans="1:2" x14ac:dyDescent="0.3">
      <c r="A40">
        <v>39</v>
      </c>
      <c r="B40" t="s">
        <v>53</v>
      </c>
    </row>
    <row r="41" spans="1:2" x14ac:dyDescent="0.3">
      <c r="A41">
        <v>40</v>
      </c>
      <c r="B41" t="s">
        <v>54</v>
      </c>
    </row>
    <row r="42" spans="1:2" x14ac:dyDescent="0.3">
      <c r="A42">
        <v>41</v>
      </c>
      <c r="B42" t="s">
        <v>55</v>
      </c>
    </row>
    <row r="43" spans="1:2" x14ac:dyDescent="0.3">
      <c r="A43">
        <v>42</v>
      </c>
      <c r="B43" t="s">
        <v>56</v>
      </c>
    </row>
    <row r="44" spans="1:2" x14ac:dyDescent="0.3">
      <c r="A44">
        <v>43</v>
      </c>
      <c r="B44" t="s">
        <v>57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309E8-A909-427C-8F28-4D06E199DC31}">
  <dimension ref="A1:I501"/>
  <sheetViews>
    <sheetView showGridLines="0" workbookViewId="0">
      <pane ySplit="1" topLeftCell="A2" activePane="bottomLeft" state="frozenSplit"/>
      <selection pane="bottomLeft"/>
    </sheetView>
  </sheetViews>
  <sheetFormatPr defaultRowHeight="14" x14ac:dyDescent="0.3"/>
  <cols>
    <col min="1" max="1" width="13.58203125" customWidth="1"/>
    <col min="2" max="2" width="14.58203125" customWidth="1"/>
    <col min="3" max="3" width="28.58203125" customWidth="1"/>
    <col min="4" max="5" width="16.58203125" customWidth="1"/>
    <col min="6" max="7" width="14.58203125" customWidth="1"/>
    <col min="8" max="8" width="16.58203125" customWidth="1"/>
    <col min="9" max="9" width="30.58203125" customWidth="1"/>
  </cols>
  <sheetData>
    <row r="1" spans="1:9" x14ac:dyDescent="0.3">
      <c r="A1" s="6" t="s">
        <v>58</v>
      </c>
      <c r="B1" s="6" t="s">
        <v>14</v>
      </c>
      <c r="C1" s="6" t="s">
        <v>59</v>
      </c>
      <c r="D1" s="6" t="s">
        <v>60</v>
      </c>
      <c r="E1" s="6" t="s">
        <v>61</v>
      </c>
      <c r="F1" s="6" t="s">
        <v>62</v>
      </c>
      <c r="G1" s="6" t="s">
        <v>63</v>
      </c>
      <c r="H1" s="6" t="s">
        <v>64</v>
      </c>
      <c r="I1" s="6" t="s">
        <v>65</v>
      </c>
    </row>
    <row r="2" spans="1:9" x14ac:dyDescent="0.3">
      <c r="A2" s="7"/>
      <c r="D2" s="8"/>
      <c r="E2" s="8"/>
    </row>
    <row r="3" spans="1:9" x14ac:dyDescent="0.3">
      <c r="A3" s="7"/>
      <c r="D3" s="8"/>
      <c r="E3" s="8"/>
    </row>
    <row r="4" spans="1:9" x14ac:dyDescent="0.3">
      <c r="A4" s="7"/>
      <c r="D4" s="8"/>
      <c r="E4" s="8"/>
    </row>
    <row r="5" spans="1:9" x14ac:dyDescent="0.3">
      <c r="A5" s="7"/>
      <c r="D5" s="8"/>
      <c r="E5" s="8"/>
    </row>
    <row r="6" spans="1:9" x14ac:dyDescent="0.3">
      <c r="A6" s="7"/>
      <c r="D6" s="8"/>
      <c r="E6" s="8"/>
    </row>
    <row r="7" spans="1:9" x14ac:dyDescent="0.3">
      <c r="A7" s="7"/>
      <c r="D7" s="8"/>
      <c r="E7" s="8"/>
    </row>
    <row r="8" spans="1:9" x14ac:dyDescent="0.3">
      <c r="A8" s="7"/>
      <c r="D8" s="8"/>
      <c r="E8" s="8"/>
    </row>
    <row r="9" spans="1:9" x14ac:dyDescent="0.3">
      <c r="A9" s="7"/>
      <c r="D9" s="8"/>
      <c r="E9" s="8"/>
    </row>
    <row r="10" spans="1:9" x14ac:dyDescent="0.3">
      <c r="A10" s="7"/>
      <c r="D10" s="8"/>
      <c r="E10" s="8"/>
    </row>
    <row r="11" spans="1:9" x14ac:dyDescent="0.3">
      <c r="A11" s="7"/>
      <c r="D11" s="8"/>
      <c r="E11" s="8"/>
    </row>
    <row r="12" spans="1:9" x14ac:dyDescent="0.3">
      <c r="A12" s="7"/>
      <c r="D12" s="8"/>
      <c r="E12" s="8"/>
    </row>
    <row r="13" spans="1:9" x14ac:dyDescent="0.3">
      <c r="A13" s="7"/>
      <c r="D13" s="8"/>
      <c r="E13" s="8"/>
    </row>
    <row r="14" spans="1:9" x14ac:dyDescent="0.3">
      <c r="A14" s="7"/>
      <c r="D14" s="8"/>
      <c r="E14" s="8"/>
    </row>
    <row r="15" spans="1:9" x14ac:dyDescent="0.3">
      <c r="A15" s="7"/>
      <c r="D15" s="8"/>
      <c r="E15" s="8"/>
    </row>
    <row r="16" spans="1:9" x14ac:dyDescent="0.3">
      <c r="A16" s="7"/>
      <c r="D16" s="8"/>
      <c r="E16" s="8"/>
    </row>
    <row r="17" spans="1:5" x14ac:dyDescent="0.3">
      <c r="A17" s="7"/>
      <c r="D17" s="8"/>
      <c r="E17" s="8"/>
    </row>
    <row r="18" spans="1:5" x14ac:dyDescent="0.3">
      <c r="A18" s="7"/>
      <c r="D18" s="8"/>
      <c r="E18" s="8"/>
    </row>
    <row r="19" spans="1:5" x14ac:dyDescent="0.3">
      <c r="A19" s="7"/>
      <c r="D19" s="8"/>
      <c r="E19" s="8"/>
    </row>
    <row r="20" spans="1:5" x14ac:dyDescent="0.3">
      <c r="A20" s="7"/>
      <c r="D20" s="8"/>
      <c r="E20" s="8"/>
    </row>
    <row r="21" spans="1:5" x14ac:dyDescent="0.3">
      <c r="A21" s="7"/>
      <c r="D21" s="8"/>
      <c r="E21" s="8"/>
    </row>
    <row r="22" spans="1:5" x14ac:dyDescent="0.3">
      <c r="A22" s="7"/>
      <c r="D22" s="8"/>
      <c r="E22" s="8"/>
    </row>
    <row r="23" spans="1:5" x14ac:dyDescent="0.3">
      <c r="A23" s="7"/>
      <c r="D23" s="8"/>
      <c r="E23" s="8"/>
    </row>
    <row r="24" spans="1:5" x14ac:dyDescent="0.3">
      <c r="A24" s="7"/>
      <c r="D24" s="8"/>
      <c r="E24" s="8"/>
    </row>
    <row r="25" spans="1:5" x14ac:dyDescent="0.3">
      <c r="A25" s="7"/>
      <c r="D25" s="8"/>
      <c r="E25" s="8"/>
    </row>
    <row r="26" spans="1:5" x14ac:dyDescent="0.3">
      <c r="A26" s="7"/>
      <c r="D26" s="8"/>
      <c r="E26" s="8"/>
    </row>
    <row r="27" spans="1:5" x14ac:dyDescent="0.3">
      <c r="A27" s="7"/>
      <c r="D27" s="8"/>
      <c r="E27" s="8"/>
    </row>
    <row r="28" spans="1:5" x14ac:dyDescent="0.3">
      <c r="A28" s="7"/>
      <c r="D28" s="8"/>
      <c r="E28" s="8"/>
    </row>
    <row r="29" spans="1:5" x14ac:dyDescent="0.3">
      <c r="A29" s="7"/>
      <c r="D29" s="8"/>
      <c r="E29" s="8"/>
    </row>
    <row r="30" spans="1:5" x14ac:dyDescent="0.3">
      <c r="A30" s="7"/>
      <c r="D30" s="8"/>
      <c r="E30" s="8"/>
    </row>
    <row r="31" spans="1:5" x14ac:dyDescent="0.3">
      <c r="A31" s="7"/>
      <c r="D31" s="8"/>
      <c r="E31" s="8"/>
    </row>
    <row r="32" spans="1:5" x14ac:dyDescent="0.3">
      <c r="A32" s="7"/>
      <c r="D32" s="8"/>
      <c r="E32" s="8"/>
    </row>
    <row r="33" spans="1:5" x14ac:dyDescent="0.3">
      <c r="A33" s="7"/>
      <c r="D33" s="8"/>
      <c r="E33" s="8"/>
    </row>
    <row r="34" spans="1:5" x14ac:dyDescent="0.3">
      <c r="A34" s="7"/>
      <c r="D34" s="8"/>
      <c r="E34" s="8"/>
    </row>
    <row r="35" spans="1:5" x14ac:dyDescent="0.3">
      <c r="A35" s="7"/>
      <c r="D35" s="8"/>
      <c r="E35" s="8"/>
    </row>
    <row r="36" spans="1:5" x14ac:dyDescent="0.3">
      <c r="A36" s="7"/>
      <c r="D36" s="8"/>
      <c r="E36" s="8"/>
    </row>
    <row r="37" spans="1:5" x14ac:dyDescent="0.3">
      <c r="A37" s="7"/>
      <c r="D37" s="8"/>
      <c r="E37" s="8"/>
    </row>
    <row r="38" spans="1:5" x14ac:dyDescent="0.3">
      <c r="A38" s="7"/>
      <c r="D38" s="8"/>
      <c r="E38" s="8"/>
    </row>
    <row r="39" spans="1:5" x14ac:dyDescent="0.3">
      <c r="A39" s="7"/>
      <c r="D39" s="8"/>
      <c r="E39" s="8"/>
    </row>
    <row r="40" spans="1:5" x14ac:dyDescent="0.3">
      <c r="A40" s="7"/>
      <c r="D40" s="8"/>
      <c r="E40" s="8"/>
    </row>
    <row r="41" spans="1:5" x14ac:dyDescent="0.3">
      <c r="A41" s="7"/>
      <c r="D41" s="8"/>
      <c r="E41" s="8"/>
    </row>
    <row r="42" spans="1:5" x14ac:dyDescent="0.3">
      <c r="A42" s="7"/>
      <c r="D42" s="8"/>
      <c r="E42" s="8"/>
    </row>
    <row r="43" spans="1:5" x14ac:dyDescent="0.3">
      <c r="A43" s="7"/>
      <c r="D43" s="8"/>
      <c r="E43" s="8"/>
    </row>
    <row r="44" spans="1:5" x14ac:dyDescent="0.3">
      <c r="A44" s="7"/>
      <c r="D44" s="8"/>
      <c r="E44" s="8"/>
    </row>
    <row r="45" spans="1:5" x14ac:dyDescent="0.3">
      <c r="A45" s="7"/>
      <c r="D45" s="8"/>
      <c r="E45" s="8"/>
    </row>
    <row r="46" spans="1:5" x14ac:dyDescent="0.3">
      <c r="A46" s="7"/>
      <c r="D46" s="8"/>
      <c r="E46" s="8"/>
    </row>
    <row r="47" spans="1:5" x14ac:dyDescent="0.3">
      <c r="A47" s="7"/>
      <c r="D47" s="8"/>
      <c r="E47" s="8"/>
    </row>
    <row r="48" spans="1:5" x14ac:dyDescent="0.3">
      <c r="A48" s="7"/>
      <c r="D48" s="8"/>
      <c r="E48" s="8"/>
    </row>
    <row r="49" spans="1:5" x14ac:dyDescent="0.3">
      <c r="A49" s="7"/>
      <c r="D49" s="8"/>
      <c r="E49" s="8"/>
    </row>
    <row r="50" spans="1:5" x14ac:dyDescent="0.3">
      <c r="A50" s="7"/>
      <c r="D50" s="8"/>
      <c r="E50" s="8"/>
    </row>
    <row r="51" spans="1:5" x14ac:dyDescent="0.3">
      <c r="A51" s="7"/>
      <c r="D51" s="8"/>
      <c r="E51" s="8"/>
    </row>
    <row r="52" spans="1:5" x14ac:dyDescent="0.3">
      <c r="A52" s="7"/>
      <c r="D52" s="8"/>
      <c r="E52" s="8"/>
    </row>
    <row r="53" spans="1:5" x14ac:dyDescent="0.3">
      <c r="A53" s="7"/>
      <c r="D53" s="8"/>
      <c r="E53" s="8"/>
    </row>
    <row r="54" spans="1:5" x14ac:dyDescent="0.3">
      <c r="A54" s="7"/>
      <c r="D54" s="8"/>
      <c r="E54" s="8"/>
    </row>
    <row r="55" spans="1:5" x14ac:dyDescent="0.3">
      <c r="A55" s="7"/>
      <c r="D55" s="8"/>
      <c r="E55" s="8"/>
    </row>
    <row r="56" spans="1:5" x14ac:dyDescent="0.3">
      <c r="A56" s="7"/>
      <c r="D56" s="8"/>
      <c r="E56" s="8"/>
    </row>
    <row r="57" spans="1:5" x14ac:dyDescent="0.3">
      <c r="A57" s="7"/>
      <c r="D57" s="8"/>
      <c r="E57" s="8"/>
    </row>
    <row r="58" spans="1:5" x14ac:dyDescent="0.3">
      <c r="A58" s="7"/>
      <c r="D58" s="8"/>
      <c r="E58" s="8"/>
    </row>
    <row r="59" spans="1:5" x14ac:dyDescent="0.3">
      <c r="A59" s="7"/>
      <c r="D59" s="8"/>
      <c r="E59" s="8"/>
    </row>
    <row r="60" spans="1:5" x14ac:dyDescent="0.3">
      <c r="A60" s="7"/>
      <c r="D60" s="8"/>
      <c r="E60" s="8"/>
    </row>
    <row r="61" spans="1:5" x14ac:dyDescent="0.3">
      <c r="A61" s="7"/>
      <c r="D61" s="8"/>
      <c r="E61" s="8"/>
    </row>
    <row r="62" spans="1:5" x14ac:dyDescent="0.3">
      <c r="A62" s="7"/>
      <c r="D62" s="8"/>
      <c r="E62" s="8"/>
    </row>
    <row r="63" spans="1:5" x14ac:dyDescent="0.3">
      <c r="A63" s="7"/>
      <c r="D63" s="8"/>
      <c r="E63" s="8"/>
    </row>
    <row r="64" spans="1:5" x14ac:dyDescent="0.3">
      <c r="A64" s="7"/>
      <c r="D64" s="8"/>
      <c r="E64" s="8"/>
    </row>
    <row r="65" spans="1:5" x14ac:dyDescent="0.3">
      <c r="A65" s="7"/>
      <c r="D65" s="8"/>
      <c r="E65" s="8"/>
    </row>
    <row r="66" spans="1:5" x14ac:dyDescent="0.3">
      <c r="A66" s="7"/>
      <c r="D66" s="8"/>
      <c r="E66" s="8"/>
    </row>
    <row r="67" spans="1:5" x14ac:dyDescent="0.3">
      <c r="A67" s="7"/>
      <c r="D67" s="8"/>
      <c r="E67" s="8"/>
    </row>
    <row r="68" spans="1:5" x14ac:dyDescent="0.3">
      <c r="A68" s="7"/>
      <c r="D68" s="8"/>
      <c r="E68" s="8"/>
    </row>
    <row r="69" spans="1:5" x14ac:dyDescent="0.3">
      <c r="A69" s="7"/>
      <c r="D69" s="8"/>
      <c r="E69" s="8"/>
    </row>
    <row r="70" spans="1:5" x14ac:dyDescent="0.3">
      <c r="A70" s="7"/>
      <c r="D70" s="8"/>
      <c r="E70" s="8"/>
    </row>
    <row r="71" spans="1:5" x14ac:dyDescent="0.3">
      <c r="A71" s="7"/>
      <c r="D71" s="8"/>
      <c r="E71" s="8"/>
    </row>
    <row r="72" spans="1:5" x14ac:dyDescent="0.3">
      <c r="A72" s="7"/>
      <c r="D72" s="8"/>
      <c r="E72" s="8"/>
    </row>
    <row r="73" spans="1:5" x14ac:dyDescent="0.3">
      <c r="A73" s="7"/>
      <c r="D73" s="8"/>
      <c r="E73" s="8"/>
    </row>
    <row r="74" spans="1:5" x14ac:dyDescent="0.3">
      <c r="A74" s="7"/>
      <c r="D74" s="8"/>
      <c r="E74" s="8"/>
    </row>
    <row r="75" spans="1:5" x14ac:dyDescent="0.3">
      <c r="A75" s="7"/>
      <c r="D75" s="8"/>
      <c r="E75" s="8"/>
    </row>
    <row r="76" spans="1:5" x14ac:dyDescent="0.3">
      <c r="A76" s="7"/>
      <c r="D76" s="8"/>
      <c r="E76" s="8"/>
    </row>
    <row r="77" spans="1:5" x14ac:dyDescent="0.3">
      <c r="A77" s="7"/>
      <c r="D77" s="8"/>
      <c r="E77" s="8"/>
    </row>
    <row r="78" spans="1:5" x14ac:dyDescent="0.3">
      <c r="A78" s="7"/>
      <c r="D78" s="8"/>
      <c r="E78" s="8"/>
    </row>
    <row r="79" spans="1:5" x14ac:dyDescent="0.3">
      <c r="A79" s="7"/>
      <c r="D79" s="8"/>
      <c r="E79" s="8"/>
    </row>
    <row r="80" spans="1:5" x14ac:dyDescent="0.3">
      <c r="A80" s="7"/>
      <c r="D80" s="8"/>
      <c r="E80" s="8"/>
    </row>
    <row r="81" spans="1:5" x14ac:dyDescent="0.3">
      <c r="A81" s="7"/>
      <c r="D81" s="8"/>
      <c r="E81" s="8"/>
    </row>
    <row r="82" spans="1:5" x14ac:dyDescent="0.3">
      <c r="A82" s="7"/>
      <c r="D82" s="8"/>
      <c r="E82" s="8"/>
    </row>
    <row r="83" spans="1:5" x14ac:dyDescent="0.3">
      <c r="A83" s="7"/>
      <c r="D83" s="8"/>
      <c r="E83" s="8"/>
    </row>
    <row r="84" spans="1:5" x14ac:dyDescent="0.3">
      <c r="A84" s="7"/>
      <c r="D84" s="8"/>
      <c r="E84" s="8"/>
    </row>
    <row r="85" spans="1:5" x14ac:dyDescent="0.3">
      <c r="A85" s="7"/>
      <c r="D85" s="8"/>
      <c r="E85" s="8"/>
    </row>
    <row r="86" spans="1:5" x14ac:dyDescent="0.3">
      <c r="A86" s="7"/>
      <c r="D86" s="8"/>
      <c r="E86" s="8"/>
    </row>
    <row r="87" spans="1:5" x14ac:dyDescent="0.3">
      <c r="A87" s="7"/>
      <c r="D87" s="8"/>
      <c r="E87" s="8"/>
    </row>
    <row r="88" spans="1:5" x14ac:dyDescent="0.3">
      <c r="A88" s="7"/>
      <c r="D88" s="8"/>
      <c r="E88" s="8"/>
    </row>
    <row r="89" spans="1:5" x14ac:dyDescent="0.3">
      <c r="A89" s="7"/>
      <c r="D89" s="8"/>
      <c r="E89" s="8"/>
    </row>
    <row r="90" spans="1:5" x14ac:dyDescent="0.3">
      <c r="A90" s="7"/>
      <c r="D90" s="8"/>
      <c r="E90" s="8"/>
    </row>
    <row r="91" spans="1:5" x14ac:dyDescent="0.3">
      <c r="A91" s="7"/>
      <c r="D91" s="8"/>
      <c r="E91" s="8"/>
    </row>
    <row r="92" spans="1:5" x14ac:dyDescent="0.3">
      <c r="A92" s="7"/>
      <c r="D92" s="8"/>
      <c r="E92" s="8"/>
    </row>
    <row r="93" spans="1:5" x14ac:dyDescent="0.3">
      <c r="A93" s="7"/>
      <c r="D93" s="8"/>
      <c r="E93" s="8"/>
    </row>
    <row r="94" spans="1:5" x14ac:dyDescent="0.3">
      <c r="A94" s="7"/>
      <c r="D94" s="8"/>
      <c r="E94" s="8"/>
    </row>
    <row r="95" spans="1:5" x14ac:dyDescent="0.3">
      <c r="A95" s="7"/>
      <c r="D95" s="8"/>
      <c r="E95" s="8"/>
    </row>
    <row r="96" spans="1:5" x14ac:dyDescent="0.3">
      <c r="A96" s="7"/>
      <c r="D96" s="8"/>
      <c r="E96" s="8"/>
    </row>
    <row r="97" spans="1:5" x14ac:dyDescent="0.3">
      <c r="A97" s="7"/>
      <c r="D97" s="8"/>
      <c r="E97" s="8"/>
    </row>
    <row r="98" spans="1:5" x14ac:dyDescent="0.3">
      <c r="A98" s="7"/>
      <c r="D98" s="8"/>
      <c r="E98" s="8"/>
    </row>
    <row r="99" spans="1:5" x14ac:dyDescent="0.3">
      <c r="A99" s="7"/>
      <c r="D99" s="8"/>
      <c r="E99" s="8"/>
    </row>
    <row r="100" spans="1:5" x14ac:dyDescent="0.3">
      <c r="A100" s="7"/>
      <c r="D100" s="8"/>
      <c r="E100" s="8"/>
    </row>
    <row r="101" spans="1:5" x14ac:dyDescent="0.3">
      <c r="A101" s="7"/>
      <c r="D101" s="8"/>
      <c r="E101" s="8"/>
    </row>
    <row r="102" spans="1:5" x14ac:dyDescent="0.3">
      <c r="A102" s="7"/>
      <c r="D102" s="8"/>
      <c r="E102" s="8"/>
    </row>
    <row r="103" spans="1:5" x14ac:dyDescent="0.3">
      <c r="A103" s="7"/>
      <c r="D103" s="8"/>
      <c r="E103" s="8"/>
    </row>
    <row r="104" spans="1:5" x14ac:dyDescent="0.3">
      <c r="A104" s="7"/>
      <c r="D104" s="8"/>
      <c r="E104" s="8"/>
    </row>
    <row r="105" spans="1:5" x14ac:dyDescent="0.3">
      <c r="A105" s="7"/>
      <c r="D105" s="8"/>
      <c r="E105" s="8"/>
    </row>
    <row r="106" spans="1:5" x14ac:dyDescent="0.3">
      <c r="A106" s="7"/>
      <c r="D106" s="8"/>
      <c r="E106" s="8"/>
    </row>
    <row r="107" spans="1:5" x14ac:dyDescent="0.3">
      <c r="A107" s="7"/>
      <c r="D107" s="8"/>
      <c r="E107" s="8"/>
    </row>
    <row r="108" spans="1:5" x14ac:dyDescent="0.3">
      <c r="A108" s="7"/>
      <c r="D108" s="8"/>
      <c r="E108" s="8"/>
    </row>
    <row r="109" spans="1:5" x14ac:dyDescent="0.3">
      <c r="A109" s="7"/>
      <c r="D109" s="8"/>
      <c r="E109" s="8"/>
    </row>
    <row r="110" spans="1:5" x14ac:dyDescent="0.3">
      <c r="A110" s="7"/>
      <c r="D110" s="8"/>
      <c r="E110" s="8"/>
    </row>
    <row r="111" spans="1:5" x14ac:dyDescent="0.3">
      <c r="A111" s="7"/>
      <c r="D111" s="8"/>
      <c r="E111" s="8"/>
    </row>
    <row r="112" spans="1:5" x14ac:dyDescent="0.3">
      <c r="A112" s="7"/>
      <c r="D112" s="8"/>
      <c r="E112" s="8"/>
    </row>
    <row r="113" spans="1:5" x14ac:dyDescent="0.3">
      <c r="A113" s="7"/>
      <c r="D113" s="8"/>
      <c r="E113" s="8"/>
    </row>
    <row r="114" spans="1:5" x14ac:dyDescent="0.3">
      <c r="A114" s="7"/>
      <c r="D114" s="8"/>
      <c r="E114" s="8"/>
    </row>
    <row r="115" spans="1:5" x14ac:dyDescent="0.3">
      <c r="A115" s="7"/>
      <c r="D115" s="8"/>
      <c r="E115" s="8"/>
    </row>
    <row r="116" spans="1:5" x14ac:dyDescent="0.3">
      <c r="A116" s="7"/>
      <c r="D116" s="8"/>
      <c r="E116" s="8"/>
    </row>
    <row r="117" spans="1:5" x14ac:dyDescent="0.3">
      <c r="A117" s="7"/>
      <c r="D117" s="8"/>
      <c r="E117" s="8"/>
    </row>
    <row r="118" spans="1:5" x14ac:dyDescent="0.3">
      <c r="A118" s="7"/>
      <c r="D118" s="8"/>
      <c r="E118" s="8"/>
    </row>
    <row r="119" spans="1:5" x14ac:dyDescent="0.3">
      <c r="A119" s="7"/>
      <c r="D119" s="8"/>
      <c r="E119" s="8"/>
    </row>
    <row r="120" spans="1:5" x14ac:dyDescent="0.3">
      <c r="A120" s="7"/>
      <c r="D120" s="8"/>
      <c r="E120" s="8"/>
    </row>
    <row r="121" spans="1:5" x14ac:dyDescent="0.3">
      <c r="A121" s="7"/>
      <c r="D121" s="8"/>
      <c r="E121" s="8"/>
    </row>
    <row r="122" spans="1:5" x14ac:dyDescent="0.3">
      <c r="A122" s="7"/>
      <c r="D122" s="8"/>
      <c r="E122" s="8"/>
    </row>
    <row r="123" spans="1:5" x14ac:dyDescent="0.3">
      <c r="A123" s="7"/>
      <c r="D123" s="8"/>
      <c r="E123" s="8"/>
    </row>
    <row r="124" spans="1:5" x14ac:dyDescent="0.3">
      <c r="A124" s="7"/>
      <c r="D124" s="8"/>
      <c r="E124" s="8"/>
    </row>
    <row r="125" spans="1:5" x14ac:dyDescent="0.3">
      <c r="A125" s="7"/>
      <c r="D125" s="8"/>
      <c r="E125" s="8"/>
    </row>
    <row r="126" spans="1:5" x14ac:dyDescent="0.3">
      <c r="A126" s="7"/>
      <c r="D126" s="8"/>
      <c r="E126" s="8"/>
    </row>
    <row r="127" spans="1:5" x14ac:dyDescent="0.3">
      <c r="A127" s="7"/>
      <c r="D127" s="8"/>
      <c r="E127" s="8"/>
    </row>
    <row r="128" spans="1:5" x14ac:dyDescent="0.3">
      <c r="A128" s="7"/>
      <c r="D128" s="8"/>
      <c r="E128" s="8"/>
    </row>
    <row r="129" spans="1:5" x14ac:dyDescent="0.3">
      <c r="A129" s="7"/>
      <c r="D129" s="8"/>
      <c r="E129" s="8"/>
    </row>
    <row r="130" spans="1:5" x14ac:dyDescent="0.3">
      <c r="A130" s="7"/>
      <c r="D130" s="8"/>
      <c r="E130" s="8"/>
    </row>
    <row r="131" spans="1:5" x14ac:dyDescent="0.3">
      <c r="A131" s="7"/>
      <c r="D131" s="8"/>
      <c r="E131" s="8"/>
    </row>
    <row r="132" spans="1:5" x14ac:dyDescent="0.3">
      <c r="A132" s="7"/>
      <c r="D132" s="8"/>
      <c r="E132" s="8"/>
    </row>
    <row r="133" spans="1:5" x14ac:dyDescent="0.3">
      <c r="A133" s="7"/>
      <c r="D133" s="8"/>
      <c r="E133" s="8"/>
    </row>
    <row r="134" spans="1:5" x14ac:dyDescent="0.3">
      <c r="A134" s="7"/>
      <c r="D134" s="8"/>
      <c r="E134" s="8"/>
    </row>
    <row r="135" spans="1:5" x14ac:dyDescent="0.3">
      <c r="A135" s="7"/>
      <c r="D135" s="8"/>
      <c r="E135" s="8"/>
    </row>
    <row r="136" spans="1:5" x14ac:dyDescent="0.3">
      <c r="A136" s="7"/>
      <c r="D136" s="8"/>
      <c r="E136" s="8"/>
    </row>
    <row r="137" spans="1:5" x14ac:dyDescent="0.3">
      <c r="A137" s="7"/>
      <c r="D137" s="8"/>
      <c r="E137" s="8"/>
    </row>
    <row r="138" spans="1:5" x14ac:dyDescent="0.3">
      <c r="A138" s="7"/>
      <c r="D138" s="8"/>
      <c r="E138" s="8"/>
    </row>
    <row r="139" spans="1:5" x14ac:dyDescent="0.3">
      <c r="A139" s="7"/>
      <c r="D139" s="8"/>
      <c r="E139" s="8"/>
    </row>
    <row r="140" spans="1:5" x14ac:dyDescent="0.3">
      <c r="A140" s="7"/>
      <c r="D140" s="8"/>
      <c r="E140" s="8"/>
    </row>
    <row r="141" spans="1:5" x14ac:dyDescent="0.3">
      <c r="A141" s="7"/>
      <c r="D141" s="8"/>
      <c r="E141" s="8"/>
    </row>
    <row r="142" spans="1:5" x14ac:dyDescent="0.3">
      <c r="A142" s="7"/>
      <c r="D142" s="8"/>
      <c r="E142" s="8"/>
    </row>
    <row r="143" spans="1:5" x14ac:dyDescent="0.3">
      <c r="A143" s="7"/>
      <c r="D143" s="8"/>
      <c r="E143" s="8"/>
    </row>
    <row r="144" spans="1:5" x14ac:dyDescent="0.3">
      <c r="A144" s="7"/>
      <c r="D144" s="8"/>
      <c r="E144" s="8"/>
    </row>
    <row r="145" spans="1:5" x14ac:dyDescent="0.3">
      <c r="A145" s="7"/>
      <c r="D145" s="8"/>
      <c r="E145" s="8"/>
    </row>
    <row r="146" spans="1:5" x14ac:dyDescent="0.3">
      <c r="A146" s="7"/>
      <c r="D146" s="8"/>
      <c r="E146" s="8"/>
    </row>
    <row r="147" spans="1:5" x14ac:dyDescent="0.3">
      <c r="A147" s="7"/>
      <c r="D147" s="8"/>
      <c r="E147" s="8"/>
    </row>
    <row r="148" spans="1:5" x14ac:dyDescent="0.3">
      <c r="A148" s="7"/>
      <c r="D148" s="8"/>
      <c r="E148" s="8"/>
    </row>
    <row r="149" spans="1:5" x14ac:dyDescent="0.3">
      <c r="A149" s="7"/>
      <c r="D149" s="8"/>
      <c r="E149" s="8"/>
    </row>
    <row r="150" spans="1:5" x14ac:dyDescent="0.3">
      <c r="A150" s="7"/>
      <c r="D150" s="8"/>
      <c r="E150" s="8"/>
    </row>
    <row r="151" spans="1:5" x14ac:dyDescent="0.3">
      <c r="A151" s="7"/>
      <c r="D151" s="8"/>
      <c r="E151" s="8"/>
    </row>
    <row r="152" spans="1:5" x14ac:dyDescent="0.3">
      <c r="A152" s="7"/>
      <c r="D152" s="8"/>
      <c r="E152" s="8"/>
    </row>
    <row r="153" spans="1:5" x14ac:dyDescent="0.3">
      <c r="A153" s="7"/>
      <c r="D153" s="8"/>
      <c r="E153" s="8"/>
    </row>
    <row r="154" spans="1:5" x14ac:dyDescent="0.3">
      <c r="A154" s="7"/>
      <c r="D154" s="8"/>
      <c r="E154" s="8"/>
    </row>
    <row r="155" spans="1:5" x14ac:dyDescent="0.3">
      <c r="A155" s="7"/>
      <c r="D155" s="8"/>
      <c r="E155" s="8"/>
    </row>
    <row r="156" spans="1:5" x14ac:dyDescent="0.3">
      <c r="A156" s="7"/>
      <c r="D156" s="8"/>
      <c r="E156" s="8"/>
    </row>
    <row r="157" spans="1:5" x14ac:dyDescent="0.3">
      <c r="A157" s="7"/>
      <c r="D157" s="8"/>
      <c r="E157" s="8"/>
    </row>
    <row r="158" spans="1:5" x14ac:dyDescent="0.3">
      <c r="A158" s="7"/>
      <c r="D158" s="8"/>
      <c r="E158" s="8"/>
    </row>
    <row r="159" spans="1:5" x14ac:dyDescent="0.3">
      <c r="A159" s="7"/>
      <c r="D159" s="8"/>
      <c r="E159" s="8"/>
    </row>
    <row r="160" spans="1:5" x14ac:dyDescent="0.3">
      <c r="A160" s="7"/>
      <c r="D160" s="8"/>
      <c r="E160" s="8"/>
    </row>
    <row r="161" spans="1:5" x14ac:dyDescent="0.3">
      <c r="A161" s="7"/>
      <c r="D161" s="8"/>
      <c r="E161" s="8"/>
    </row>
    <row r="162" spans="1:5" x14ac:dyDescent="0.3">
      <c r="A162" s="7"/>
      <c r="D162" s="8"/>
      <c r="E162" s="8"/>
    </row>
    <row r="163" spans="1:5" x14ac:dyDescent="0.3">
      <c r="A163" s="7"/>
      <c r="D163" s="8"/>
      <c r="E163" s="8"/>
    </row>
    <row r="164" spans="1:5" x14ac:dyDescent="0.3">
      <c r="A164" s="7"/>
      <c r="D164" s="8"/>
      <c r="E164" s="8"/>
    </row>
    <row r="165" spans="1:5" x14ac:dyDescent="0.3">
      <c r="A165" s="7"/>
      <c r="D165" s="8"/>
      <c r="E165" s="8"/>
    </row>
    <row r="166" spans="1:5" x14ac:dyDescent="0.3">
      <c r="A166" s="7"/>
      <c r="D166" s="8"/>
      <c r="E166" s="8"/>
    </row>
    <row r="167" spans="1:5" x14ac:dyDescent="0.3">
      <c r="A167" s="7"/>
      <c r="D167" s="8"/>
      <c r="E167" s="8"/>
    </row>
    <row r="168" spans="1:5" x14ac:dyDescent="0.3">
      <c r="A168" s="7"/>
      <c r="D168" s="8"/>
      <c r="E168" s="8"/>
    </row>
    <row r="169" spans="1:5" x14ac:dyDescent="0.3">
      <c r="A169" s="7"/>
      <c r="D169" s="8"/>
      <c r="E169" s="8"/>
    </row>
    <row r="170" spans="1:5" x14ac:dyDescent="0.3">
      <c r="A170" s="7"/>
      <c r="D170" s="8"/>
      <c r="E170" s="8"/>
    </row>
    <row r="171" spans="1:5" x14ac:dyDescent="0.3">
      <c r="A171" s="7"/>
      <c r="D171" s="8"/>
      <c r="E171" s="8"/>
    </row>
    <row r="172" spans="1:5" x14ac:dyDescent="0.3">
      <c r="A172" s="7"/>
      <c r="D172" s="8"/>
      <c r="E172" s="8"/>
    </row>
    <row r="173" spans="1:5" x14ac:dyDescent="0.3">
      <c r="A173" s="7"/>
      <c r="D173" s="8"/>
      <c r="E173" s="8"/>
    </row>
    <row r="174" spans="1:5" x14ac:dyDescent="0.3">
      <c r="A174" s="7"/>
      <c r="D174" s="8"/>
      <c r="E174" s="8"/>
    </row>
    <row r="175" spans="1:5" x14ac:dyDescent="0.3">
      <c r="A175" s="7"/>
      <c r="D175" s="8"/>
      <c r="E175" s="8"/>
    </row>
    <row r="176" spans="1:5" x14ac:dyDescent="0.3">
      <c r="A176" s="7"/>
      <c r="D176" s="8"/>
      <c r="E176" s="8"/>
    </row>
    <row r="177" spans="1:5" x14ac:dyDescent="0.3">
      <c r="A177" s="7"/>
      <c r="D177" s="8"/>
      <c r="E177" s="8"/>
    </row>
    <row r="178" spans="1:5" x14ac:dyDescent="0.3">
      <c r="A178" s="7"/>
      <c r="D178" s="8"/>
      <c r="E178" s="8"/>
    </row>
    <row r="179" spans="1:5" x14ac:dyDescent="0.3">
      <c r="A179" s="7"/>
      <c r="D179" s="8"/>
      <c r="E179" s="8"/>
    </row>
    <row r="180" spans="1:5" x14ac:dyDescent="0.3">
      <c r="A180" s="7"/>
      <c r="D180" s="8"/>
      <c r="E180" s="8"/>
    </row>
    <row r="181" spans="1:5" x14ac:dyDescent="0.3">
      <c r="A181" s="7"/>
      <c r="D181" s="8"/>
      <c r="E181" s="8"/>
    </row>
    <row r="182" spans="1:5" x14ac:dyDescent="0.3">
      <c r="A182" s="7"/>
      <c r="D182" s="8"/>
      <c r="E182" s="8"/>
    </row>
    <row r="183" spans="1:5" x14ac:dyDescent="0.3">
      <c r="A183" s="7"/>
      <c r="D183" s="8"/>
      <c r="E183" s="8"/>
    </row>
    <row r="184" spans="1:5" x14ac:dyDescent="0.3">
      <c r="A184" s="7"/>
      <c r="D184" s="8"/>
      <c r="E184" s="8"/>
    </row>
    <row r="185" spans="1:5" x14ac:dyDescent="0.3">
      <c r="A185" s="7"/>
      <c r="D185" s="8"/>
      <c r="E185" s="8"/>
    </row>
    <row r="186" spans="1:5" x14ac:dyDescent="0.3">
      <c r="A186" s="7"/>
      <c r="D186" s="8"/>
      <c r="E186" s="8"/>
    </row>
    <row r="187" spans="1:5" x14ac:dyDescent="0.3">
      <c r="A187" s="7"/>
      <c r="D187" s="8"/>
      <c r="E187" s="8"/>
    </row>
    <row r="188" spans="1:5" x14ac:dyDescent="0.3">
      <c r="A188" s="7"/>
      <c r="D188" s="8"/>
      <c r="E188" s="8"/>
    </row>
    <row r="189" spans="1:5" x14ac:dyDescent="0.3">
      <c r="A189" s="7"/>
      <c r="D189" s="8"/>
      <c r="E189" s="8"/>
    </row>
    <row r="190" spans="1:5" x14ac:dyDescent="0.3">
      <c r="A190" s="7"/>
      <c r="D190" s="8"/>
      <c r="E190" s="8"/>
    </row>
    <row r="191" spans="1:5" x14ac:dyDescent="0.3">
      <c r="A191" s="7"/>
      <c r="D191" s="8"/>
      <c r="E191" s="8"/>
    </row>
    <row r="192" spans="1:5" x14ac:dyDescent="0.3">
      <c r="A192" s="7"/>
      <c r="D192" s="8"/>
      <c r="E192" s="8"/>
    </row>
    <row r="193" spans="1:5" x14ac:dyDescent="0.3">
      <c r="A193" s="7"/>
      <c r="D193" s="8"/>
      <c r="E193" s="8"/>
    </row>
    <row r="194" spans="1:5" x14ac:dyDescent="0.3">
      <c r="A194" s="7"/>
      <c r="D194" s="8"/>
      <c r="E194" s="8"/>
    </row>
    <row r="195" spans="1:5" x14ac:dyDescent="0.3">
      <c r="A195" s="7"/>
      <c r="D195" s="8"/>
      <c r="E195" s="8"/>
    </row>
    <row r="196" spans="1:5" x14ac:dyDescent="0.3">
      <c r="A196" s="7"/>
      <c r="D196" s="8"/>
      <c r="E196" s="8"/>
    </row>
    <row r="197" spans="1:5" x14ac:dyDescent="0.3">
      <c r="A197" s="7"/>
      <c r="D197" s="8"/>
      <c r="E197" s="8"/>
    </row>
    <row r="198" spans="1:5" x14ac:dyDescent="0.3">
      <c r="A198" s="7"/>
      <c r="D198" s="8"/>
      <c r="E198" s="8"/>
    </row>
    <row r="199" spans="1:5" x14ac:dyDescent="0.3">
      <c r="A199" s="7"/>
      <c r="D199" s="8"/>
      <c r="E199" s="8"/>
    </row>
    <row r="200" spans="1:5" x14ac:dyDescent="0.3">
      <c r="A200" s="7"/>
      <c r="D200" s="8"/>
      <c r="E200" s="8"/>
    </row>
    <row r="201" spans="1:5" x14ac:dyDescent="0.3">
      <c r="A201" s="7"/>
      <c r="D201" s="8"/>
      <c r="E201" s="8"/>
    </row>
    <row r="202" spans="1:5" x14ac:dyDescent="0.3">
      <c r="A202" s="7"/>
      <c r="D202" s="8"/>
      <c r="E202" s="8"/>
    </row>
    <row r="203" spans="1:5" x14ac:dyDescent="0.3">
      <c r="A203" s="7"/>
      <c r="D203" s="8"/>
      <c r="E203" s="8"/>
    </row>
    <row r="204" spans="1:5" x14ac:dyDescent="0.3">
      <c r="A204" s="7"/>
      <c r="D204" s="8"/>
      <c r="E204" s="8"/>
    </row>
    <row r="205" spans="1:5" x14ac:dyDescent="0.3">
      <c r="A205" s="7"/>
      <c r="D205" s="8"/>
      <c r="E205" s="8"/>
    </row>
    <row r="206" spans="1:5" x14ac:dyDescent="0.3">
      <c r="A206" s="7"/>
      <c r="D206" s="8"/>
      <c r="E206" s="8"/>
    </row>
    <row r="207" spans="1:5" x14ac:dyDescent="0.3">
      <c r="A207" s="7"/>
      <c r="D207" s="8"/>
      <c r="E207" s="8"/>
    </row>
    <row r="208" spans="1:5" x14ac:dyDescent="0.3">
      <c r="A208" s="7"/>
      <c r="D208" s="8"/>
      <c r="E208" s="8"/>
    </row>
    <row r="209" spans="1:5" x14ac:dyDescent="0.3">
      <c r="A209" s="7"/>
      <c r="D209" s="8"/>
      <c r="E209" s="8"/>
    </row>
    <row r="210" spans="1:5" x14ac:dyDescent="0.3">
      <c r="A210" s="7"/>
      <c r="D210" s="8"/>
      <c r="E210" s="8"/>
    </row>
    <row r="211" spans="1:5" x14ac:dyDescent="0.3">
      <c r="A211" s="7"/>
      <c r="D211" s="8"/>
      <c r="E211" s="8"/>
    </row>
    <row r="212" spans="1:5" x14ac:dyDescent="0.3">
      <c r="A212" s="7"/>
      <c r="D212" s="8"/>
      <c r="E212" s="8"/>
    </row>
    <row r="213" spans="1:5" x14ac:dyDescent="0.3">
      <c r="A213" s="7"/>
      <c r="D213" s="8"/>
      <c r="E213" s="8"/>
    </row>
    <row r="214" spans="1:5" x14ac:dyDescent="0.3">
      <c r="A214" s="7"/>
      <c r="D214" s="8"/>
      <c r="E214" s="8"/>
    </row>
    <row r="215" spans="1:5" x14ac:dyDescent="0.3">
      <c r="A215" s="7"/>
      <c r="D215" s="8"/>
      <c r="E215" s="8"/>
    </row>
    <row r="216" spans="1:5" x14ac:dyDescent="0.3">
      <c r="A216" s="7"/>
      <c r="D216" s="8"/>
      <c r="E216" s="8"/>
    </row>
    <row r="217" spans="1:5" x14ac:dyDescent="0.3">
      <c r="A217" s="7"/>
      <c r="D217" s="8"/>
      <c r="E217" s="8"/>
    </row>
    <row r="218" spans="1:5" x14ac:dyDescent="0.3">
      <c r="A218" s="7"/>
      <c r="D218" s="8"/>
      <c r="E218" s="8"/>
    </row>
    <row r="219" spans="1:5" x14ac:dyDescent="0.3">
      <c r="A219" s="7"/>
      <c r="D219" s="8"/>
      <c r="E219" s="8"/>
    </row>
    <row r="220" spans="1:5" x14ac:dyDescent="0.3">
      <c r="A220" s="7"/>
      <c r="D220" s="8"/>
      <c r="E220" s="8"/>
    </row>
    <row r="221" spans="1:5" x14ac:dyDescent="0.3">
      <c r="A221" s="7"/>
      <c r="D221" s="8"/>
      <c r="E221" s="8"/>
    </row>
    <row r="222" spans="1:5" x14ac:dyDescent="0.3">
      <c r="A222" s="7"/>
      <c r="D222" s="8"/>
      <c r="E222" s="8"/>
    </row>
    <row r="223" spans="1:5" x14ac:dyDescent="0.3">
      <c r="A223" s="7"/>
      <c r="D223" s="8"/>
      <c r="E223" s="8"/>
    </row>
    <row r="224" spans="1:5" x14ac:dyDescent="0.3">
      <c r="A224" s="7"/>
      <c r="D224" s="8"/>
      <c r="E224" s="8"/>
    </row>
    <row r="225" spans="1:5" x14ac:dyDescent="0.3">
      <c r="A225" s="7"/>
      <c r="D225" s="8"/>
      <c r="E225" s="8"/>
    </row>
    <row r="226" spans="1:5" x14ac:dyDescent="0.3">
      <c r="A226" s="7"/>
      <c r="D226" s="8"/>
      <c r="E226" s="8"/>
    </row>
    <row r="227" spans="1:5" x14ac:dyDescent="0.3">
      <c r="A227" s="7"/>
      <c r="D227" s="8"/>
      <c r="E227" s="8"/>
    </row>
    <row r="228" spans="1:5" x14ac:dyDescent="0.3">
      <c r="A228" s="7"/>
      <c r="D228" s="8"/>
      <c r="E228" s="8"/>
    </row>
    <row r="229" spans="1:5" x14ac:dyDescent="0.3">
      <c r="A229" s="7"/>
      <c r="D229" s="8"/>
      <c r="E229" s="8"/>
    </row>
    <row r="230" spans="1:5" x14ac:dyDescent="0.3">
      <c r="A230" s="7"/>
      <c r="D230" s="8"/>
      <c r="E230" s="8"/>
    </row>
    <row r="231" spans="1:5" x14ac:dyDescent="0.3">
      <c r="A231" s="7"/>
      <c r="D231" s="8"/>
      <c r="E231" s="8"/>
    </row>
    <row r="232" spans="1:5" x14ac:dyDescent="0.3">
      <c r="A232" s="7"/>
      <c r="D232" s="8"/>
      <c r="E232" s="8"/>
    </row>
    <row r="233" spans="1:5" x14ac:dyDescent="0.3">
      <c r="A233" s="7"/>
      <c r="D233" s="8"/>
      <c r="E233" s="8"/>
    </row>
    <row r="234" spans="1:5" x14ac:dyDescent="0.3">
      <c r="A234" s="7"/>
      <c r="D234" s="8"/>
      <c r="E234" s="8"/>
    </row>
    <row r="235" spans="1:5" x14ac:dyDescent="0.3">
      <c r="A235" s="7"/>
      <c r="D235" s="8"/>
      <c r="E235" s="8"/>
    </row>
    <row r="236" spans="1:5" x14ac:dyDescent="0.3">
      <c r="A236" s="7"/>
      <c r="D236" s="8"/>
      <c r="E236" s="8"/>
    </row>
    <row r="237" spans="1:5" x14ac:dyDescent="0.3">
      <c r="A237" s="7"/>
      <c r="D237" s="8"/>
      <c r="E237" s="8"/>
    </row>
    <row r="238" spans="1:5" x14ac:dyDescent="0.3">
      <c r="A238" s="7"/>
      <c r="D238" s="8"/>
      <c r="E238" s="8"/>
    </row>
    <row r="239" spans="1:5" x14ac:dyDescent="0.3">
      <c r="A239" s="7"/>
      <c r="D239" s="8"/>
      <c r="E239" s="8"/>
    </row>
    <row r="240" spans="1:5" x14ac:dyDescent="0.3">
      <c r="A240" s="7"/>
      <c r="D240" s="8"/>
      <c r="E240" s="8"/>
    </row>
    <row r="241" spans="1:5" x14ac:dyDescent="0.3">
      <c r="A241" s="7"/>
      <c r="D241" s="8"/>
      <c r="E241" s="8"/>
    </row>
    <row r="242" spans="1:5" x14ac:dyDescent="0.3">
      <c r="A242" s="7"/>
      <c r="D242" s="8"/>
      <c r="E242" s="8"/>
    </row>
    <row r="243" spans="1:5" x14ac:dyDescent="0.3">
      <c r="A243" s="7"/>
      <c r="D243" s="8"/>
      <c r="E243" s="8"/>
    </row>
    <row r="244" spans="1:5" x14ac:dyDescent="0.3">
      <c r="A244" s="7"/>
      <c r="D244" s="8"/>
      <c r="E244" s="8"/>
    </row>
    <row r="245" spans="1:5" x14ac:dyDescent="0.3">
      <c r="A245" s="7"/>
      <c r="D245" s="8"/>
      <c r="E245" s="8"/>
    </row>
    <row r="246" spans="1:5" x14ac:dyDescent="0.3">
      <c r="A246" s="7"/>
      <c r="D246" s="8"/>
      <c r="E246" s="8"/>
    </row>
    <row r="247" spans="1:5" x14ac:dyDescent="0.3">
      <c r="A247" s="7"/>
      <c r="D247" s="8"/>
      <c r="E247" s="8"/>
    </row>
    <row r="248" spans="1:5" x14ac:dyDescent="0.3">
      <c r="A248" s="7"/>
      <c r="D248" s="8"/>
      <c r="E248" s="8"/>
    </row>
    <row r="249" spans="1:5" x14ac:dyDescent="0.3">
      <c r="A249" s="7"/>
      <c r="D249" s="8"/>
      <c r="E249" s="8"/>
    </row>
    <row r="250" spans="1:5" x14ac:dyDescent="0.3">
      <c r="A250" s="7"/>
      <c r="D250" s="8"/>
      <c r="E250" s="8"/>
    </row>
    <row r="251" spans="1:5" x14ac:dyDescent="0.3">
      <c r="A251" s="7"/>
      <c r="D251" s="8"/>
      <c r="E251" s="8"/>
    </row>
    <row r="252" spans="1:5" x14ac:dyDescent="0.3">
      <c r="A252" s="7"/>
      <c r="D252" s="8"/>
      <c r="E252" s="8"/>
    </row>
    <row r="253" spans="1:5" x14ac:dyDescent="0.3">
      <c r="A253" s="7"/>
      <c r="D253" s="8"/>
      <c r="E253" s="8"/>
    </row>
    <row r="254" spans="1:5" x14ac:dyDescent="0.3">
      <c r="A254" s="7"/>
      <c r="D254" s="8"/>
      <c r="E254" s="8"/>
    </row>
    <row r="255" spans="1:5" x14ac:dyDescent="0.3">
      <c r="A255" s="7"/>
      <c r="D255" s="8"/>
      <c r="E255" s="8"/>
    </row>
    <row r="256" spans="1:5" x14ac:dyDescent="0.3">
      <c r="A256" s="7"/>
      <c r="D256" s="8"/>
      <c r="E256" s="8"/>
    </row>
    <row r="257" spans="1:5" x14ac:dyDescent="0.3">
      <c r="A257" s="7"/>
      <c r="D257" s="8"/>
      <c r="E257" s="8"/>
    </row>
    <row r="258" spans="1:5" x14ac:dyDescent="0.3">
      <c r="A258" s="7"/>
      <c r="D258" s="8"/>
      <c r="E258" s="8"/>
    </row>
    <row r="259" spans="1:5" x14ac:dyDescent="0.3">
      <c r="A259" s="7"/>
      <c r="D259" s="8"/>
      <c r="E259" s="8"/>
    </row>
    <row r="260" spans="1:5" x14ac:dyDescent="0.3">
      <c r="A260" s="7"/>
      <c r="D260" s="8"/>
      <c r="E260" s="8"/>
    </row>
    <row r="261" spans="1:5" x14ac:dyDescent="0.3">
      <c r="A261" s="7"/>
      <c r="D261" s="8"/>
      <c r="E261" s="8"/>
    </row>
    <row r="262" spans="1:5" x14ac:dyDescent="0.3">
      <c r="A262" s="7"/>
      <c r="D262" s="8"/>
      <c r="E262" s="8"/>
    </row>
    <row r="263" spans="1:5" x14ac:dyDescent="0.3">
      <c r="A263" s="7"/>
      <c r="D263" s="8"/>
      <c r="E263" s="8"/>
    </row>
    <row r="264" spans="1:5" x14ac:dyDescent="0.3">
      <c r="A264" s="7"/>
      <c r="D264" s="8"/>
      <c r="E264" s="8"/>
    </row>
    <row r="265" spans="1:5" x14ac:dyDescent="0.3">
      <c r="A265" s="7"/>
      <c r="D265" s="8"/>
      <c r="E265" s="8"/>
    </row>
    <row r="266" spans="1:5" x14ac:dyDescent="0.3">
      <c r="A266" s="7"/>
      <c r="D266" s="8"/>
      <c r="E266" s="8"/>
    </row>
    <row r="267" spans="1:5" x14ac:dyDescent="0.3">
      <c r="A267" s="7"/>
      <c r="D267" s="8"/>
      <c r="E267" s="8"/>
    </row>
    <row r="268" spans="1:5" x14ac:dyDescent="0.3">
      <c r="A268" s="7"/>
      <c r="D268" s="8"/>
      <c r="E268" s="8"/>
    </row>
    <row r="269" spans="1:5" x14ac:dyDescent="0.3">
      <c r="A269" s="7"/>
      <c r="D269" s="8"/>
      <c r="E269" s="8"/>
    </row>
    <row r="270" spans="1:5" x14ac:dyDescent="0.3">
      <c r="A270" s="7"/>
      <c r="D270" s="8"/>
      <c r="E270" s="8"/>
    </row>
    <row r="271" spans="1:5" x14ac:dyDescent="0.3">
      <c r="A271" s="7"/>
      <c r="D271" s="8"/>
      <c r="E271" s="8"/>
    </row>
    <row r="272" spans="1:5" x14ac:dyDescent="0.3">
      <c r="A272" s="7"/>
      <c r="D272" s="8"/>
      <c r="E272" s="8"/>
    </row>
    <row r="273" spans="1:5" x14ac:dyDescent="0.3">
      <c r="A273" s="7"/>
      <c r="D273" s="8"/>
      <c r="E273" s="8"/>
    </row>
    <row r="274" spans="1:5" x14ac:dyDescent="0.3">
      <c r="A274" s="7"/>
      <c r="D274" s="8"/>
      <c r="E274" s="8"/>
    </row>
    <row r="275" spans="1:5" x14ac:dyDescent="0.3">
      <c r="A275" s="7"/>
      <c r="D275" s="8"/>
      <c r="E275" s="8"/>
    </row>
    <row r="276" spans="1:5" x14ac:dyDescent="0.3">
      <c r="A276" s="7"/>
      <c r="D276" s="8"/>
      <c r="E276" s="8"/>
    </row>
    <row r="277" spans="1:5" x14ac:dyDescent="0.3">
      <c r="A277" s="7"/>
      <c r="D277" s="8"/>
      <c r="E277" s="8"/>
    </row>
    <row r="278" spans="1:5" x14ac:dyDescent="0.3">
      <c r="A278" s="7"/>
      <c r="D278" s="8"/>
      <c r="E278" s="8"/>
    </row>
    <row r="279" spans="1:5" x14ac:dyDescent="0.3">
      <c r="A279" s="7"/>
      <c r="D279" s="8"/>
      <c r="E279" s="8"/>
    </row>
    <row r="280" spans="1:5" x14ac:dyDescent="0.3">
      <c r="A280" s="7"/>
      <c r="D280" s="8"/>
      <c r="E280" s="8"/>
    </row>
    <row r="281" spans="1:5" x14ac:dyDescent="0.3">
      <c r="A281" s="7"/>
      <c r="D281" s="8"/>
      <c r="E281" s="8"/>
    </row>
    <row r="282" spans="1:5" x14ac:dyDescent="0.3">
      <c r="A282" s="7"/>
      <c r="D282" s="8"/>
      <c r="E282" s="8"/>
    </row>
    <row r="283" spans="1:5" x14ac:dyDescent="0.3">
      <c r="A283" s="7"/>
      <c r="D283" s="8"/>
      <c r="E283" s="8"/>
    </row>
    <row r="284" spans="1:5" x14ac:dyDescent="0.3">
      <c r="A284" s="7"/>
      <c r="D284" s="8"/>
      <c r="E284" s="8"/>
    </row>
    <row r="285" spans="1:5" x14ac:dyDescent="0.3">
      <c r="A285" s="7"/>
      <c r="D285" s="8"/>
      <c r="E285" s="8"/>
    </row>
    <row r="286" spans="1:5" x14ac:dyDescent="0.3">
      <c r="A286" s="7"/>
      <c r="D286" s="8"/>
      <c r="E286" s="8"/>
    </row>
    <row r="287" spans="1:5" x14ac:dyDescent="0.3">
      <c r="A287" s="7"/>
      <c r="D287" s="8"/>
      <c r="E287" s="8"/>
    </row>
    <row r="288" spans="1:5" x14ac:dyDescent="0.3">
      <c r="A288" s="7"/>
      <c r="D288" s="8"/>
      <c r="E288" s="8"/>
    </row>
    <row r="289" spans="1:5" x14ac:dyDescent="0.3">
      <c r="A289" s="7"/>
      <c r="D289" s="8"/>
      <c r="E289" s="8"/>
    </row>
    <row r="290" spans="1:5" x14ac:dyDescent="0.3">
      <c r="A290" s="7"/>
      <c r="D290" s="8"/>
      <c r="E290" s="8"/>
    </row>
    <row r="291" spans="1:5" x14ac:dyDescent="0.3">
      <c r="A291" s="7"/>
      <c r="D291" s="8"/>
      <c r="E291" s="8"/>
    </row>
    <row r="292" spans="1:5" x14ac:dyDescent="0.3">
      <c r="A292" s="7"/>
      <c r="D292" s="8"/>
      <c r="E292" s="8"/>
    </row>
    <row r="293" spans="1:5" x14ac:dyDescent="0.3">
      <c r="A293" s="7"/>
      <c r="D293" s="8"/>
      <c r="E293" s="8"/>
    </row>
    <row r="294" spans="1:5" x14ac:dyDescent="0.3">
      <c r="A294" s="7"/>
      <c r="D294" s="8"/>
      <c r="E294" s="8"/>
    </row>
    <row r="295" spans="1:5" x14ac:dyDescent="0.3">
      <c r="A295" s="7"/>
      <c r="D295" s="8"/>
      <c r="E295" s="8"/>
    </row>
    <row r="296" spans="1:5" x14ac:dyDescent="0.3">
      <c r="A296" s="7"/>
      <c r="D296" s="8"/>
      <c r="E296" s="8"/>
    </row>
    <row r="297" spans="1:5" x14ac:dyDescent="0.3">
      <c r="A297" s="7"/>
      <c r="D297" s="8"/>
      <c r="E297" s="8"/>
    </row>
    <row r="298" spans="1:5" x14ac:dyDescent="0.3">
      <c r="A298" s="7"/>
      <c r="D298" s="8"/>
      <c r="E298" s="8"/>
    </row>
    <row r="299" spans="1:5" x14ac:dyDescent="0.3">
      <c r="A299" s="7"/>
      <c r="D299" s="8"/>
      <c r="E299" s="8"/>
    </row>
    <row r="300" spans="1:5" x14ac:dyDescent="0.3">
      <c r="A300" s="7"/>
      <c r="D300" s="8"/>
      <c r="E300" s="8"/>
    </row>
    <row r="301" spans="1:5" x14ac:dyDescent="0.3">
      <c r="A301" s="7"/>
      <c r="D301" s="8"/>
      <c r="E301" s="8"/>
    </row>
    <row r="302" spans="1:5" x14ac:dyDescent="0.3">
      <c r="A302" s="7"/>
      <c r="D302" s="8"/>
      <c r="E302" s="8"/>
    </row>
    <row r="303" spans="1:5" x14ac:dyDescent="0.3">
      <c r="A303" s="7"/>
      <c r="D303" s="8"/>
      <c r="E303" s="8"/>
    </row>
    <row r="304" spans="1:5" x14ac:dyDescent="0.3">
      <c r="A304" s="7"/>
      <c r="D304" s="8"/>
      <c r="E304" s="8"/>
    </row>
    <row r="305" spans="1:5" x14ac:dyDescent="0.3">
      <c r="A305" s="7"/>
      <c r="D305" s="8"/>
      <c r="E305" s="8"/>
    </row>
    <row r="306" spans="1:5" x14ac:dyDescent="0.3">
      <c r="A306" s="7"/>
      <c r="D306" s="8"/>
      <c r="E306" s="8"/>
    </row>
    <row r="307" spans="1:5" x14ac:dyDescent="0.3">
      <c r="A307" s="7"/>
      <c r="D307" s="8"/>
      <c r="E307" s="8"/>
    </row>
    <row r="308" spans="1:5" x14ac:dyDescent="0.3">
      <c r="A308" s="7"/>
      <c r="D308" s="8"/>
      <c r="E308" s="8"/>
    </row>
    <row r="309" spans="1:5" x14ac:dyDescent="0.3">
      <c r="A309" s="7"/>
      <c r="D309" s="8"/>
      <c r="E309" s="8"/>
    </row>
    <row r="310" spans="1:5" x14ac:dyDescent="0.3">
      <c r="A310" s="7"/>
      <c r="D310" s="8"/>
      <c r="E310" s="8"/>
    </row>
    <row r="311" spans="1:5" x14ac:dyDescent="0.3">
      <c r="A311" s="7"/>
      <c r="D311" s="8"/>
      <c r="E311" s="8"/>
    </row>
    <row r="312" spans="1:5" x14ac:dyDescent="0.3">
      <c r="A312" s="7"/>
      <c r="D312" s="8"/>
      <c r="E312" s="8"/>
    </row>
    <row r="313" spans="1:5" x14ac:dyDescent="0.3">
      <c r="A313" s="7"/>
      <c r="D313" s="8"/>
      <c r="E313" s="8"/>
    </row>
    <row r="314" spans="1:5" x14ac:dyDescent="0.3">
      <c r="A314" s="7"/>
      <c r="D314" s="8"/>
      <c r="E314" s="8"/>
    </row>
    <row r="315" spans="1:5" x14ac:dyDescent="0.3">
      <c r="A315" s="7"/>
      <c r="D315" s="8"/>
      <c r="E315" s="8"/>
    </row>
    <row r="316" spans="1:5" x14ac:dyDescent="0.3">
      <c r="A316" s="7"/>
      <c r="D316" s="8"/>
      <c r="E316" s="8"/>
    </row>
    <row r="317" spans="1:5" x14ac:dyDescent="0.3">
      <c r="A317" s="7"/>
      <c r="D317" s="8"/>
      <c r="E317" s="8"/>
    </row>
    <row r="318" spans="1:5" x14ac:dyDescent="0.3">
      <c r="A318" s="7"/>
      <c r="D318" s="8"/>
      <c r="E318" s="8"/>
    </row>
    <row r="319" spans="1:5" x14ac:dyDescent="0.3">
      <c r="A319" s="7"/>
      <c r="D319" s="8"/>
      <c r="E319" s="8"/>
    </row>
    <row r="320" spans="1:5" x14ac:dyDescent="0.3">
      <c r="A320" s="7"/>
      <c r="D320" s="8"/>
      <c r="E320" s="8"/>
    </row>
    <row r="321" spans="1:5" x14ac:dyDescent="0.3">
      <c r="A321" s="7"/>
      <c r="D321" s="8"/>
      <c r="E321" s="8"/>
    </row>
    <row r="322" spans="1:5" x14ac:dyDescent="0.3">
      <c r="A322" s="7"/>
      <c r="D322" s="8"/>
      <c r="E322" s="8"/>
    </row>
    <row r="323" spans="1:5" x14ac:dyDescent="0.3">
      <c r="A323" s="7"/>
      <c r="D323" s="8"/>
      <c r="E323" s="8"/>
    </row>
    <row r="324" spans="1:5" x14ac:dyDescent="0.3">
      <c r="A324" s="7"/>
      <c r="D324" s="8"/>
      <c r="E324" s="8"/>
    </row>
    <row r="325" spans="1:5" x14ac:dyDescent="0.3">
      <c r="A325" s="7"/>
      <c r="D325" s="8"/>
      <c r="E325" s="8"/>
    </row>
    <row r="326" spans="1:5" x14ac:dyDescent="0.3">
      <c r="A326" s="7"/>
      <c r="D326" s="8"/>
      <c r="E326" s="8"/>
    </row>
    <row r="327" spans="1:5" x14ac:dyDescent="0.3">
      <c r="A327" s="7"/>
      <c r="D327" s="8"/>
      <c r="E327" s="8"/>
    </row>
    <row r="328" spans="1:5" x14ac:dyDescent="0.3">
      <c r="A328" s="7"/>
      <c r="D328" s="8"/>
      <c r="E328" s="8"/>
    </row>
    <row r="329" spans="1:5" x14ac:dyDescent="0.3">
      <c r="A329" s="7"/>
      <c r="D329" s="8"/>
      <c r="E329" s="8"/>
    </row>
    <row r="330" spans="1:5" x14ac:dyDescent="0.3">
      <c r="A330" s="7"/>
      <c r="D330" s="8"/>
      <c r="E330" s="8"/>
    </row>
    <row r="331" spans="1:5" x14ac:dyDescent="0.3">
      <c r="A331" s="7"/>
      <c r="D331" s="8"/>
      <c r="E331" s="8"/>
    </row>
    <row r="332" spans="1:5" x14ac:dyDescent="0.3">
      <c r="A332" s="7"/>
      <c r="D332" s="8"/>
      <c r="E332" s="8"/>
    </row>
    <row r="333" spans="1:5" x14ac:dyDescent="0.3">
      <c r="A333" s="7"/>
      <c r="D333" s="8"/>
      <c r="E333" s="8"/>
    </row>
    <row r="334" spans="1:5" x14ac:dyDescent="0.3">
      <c r="A334" s="7"/>
      <c r="D334" s="8"/>
      <c r="E334" s="8"/>
    </row>
    <row r="335" spans="1:5" x14ac:dyDescent="0.3">
      <c r="A335" s="7"/>
      <c r="D335" s="8"/>
      <c r="E335" s="8"/>
    </row>
    <row r="336" spans="1:5" x14ac:dyDescent="0.3">
      <c r="A336" s="7"/>
      <c r="D336" s="8"/>
      <c r="E336" s="8"/>
    </row>
    <row r="337" spans="1:5" x14ac:dyDescent="0.3">
      <c r="A337" s="7"/>
      <c r="D337" s="8"/>
      <c r="E337" s="8"/>
    </row>
    <row r="338" spans="1:5" x14ac:dyDescent="0.3">
      <c r="A338" s="7"/>
      <c r="D338" s="8"/>
      <c r="E338" s="8"/>
    </row>
    <row r="339" spans="1:5" x14ac:dyDescent="0.3">
      <c r="A339" s="7"/>
      <c r="D339" s="8"/>
      <c r="E339" s="8"/>
    </row>
    <row r="340" spans="1:5" x14ac:dyDescent="0.3">
      <c r="A340" s="7"/>
      <c r="D340" s="8"/>
      <c r="E340" s="8"/>
    </row>
    <row r="341" spans="1:5" x14ac:dyDescent="0.3">
      <c r="A341" s="7"/>
      <c r="D341" s="8"/>
      <c r="E341" s="8"/>
    </row>
    <row r="342" spans="1:5" x14ac:dyDescent="0.3">
      <c r="A342" s="7"/>
      <c r="D342" s="8"/>
      <c r="E342" s="8"/>
    </row>
    <row r="343" spans="1:5" x14ac:dyDescent="0.3">
      <c r="A343" s="7"/>
      <c r="D343" s="8"/>
      <c r="E343" s="8"/>
    </row>
    <row r="344" spans="1:5" x14ac:dyDescent="0.3">
      <c r="A344" s="7"/>
      <c r="D344" s="8"/>
      <c r="E344" s="8"/>
    </row>
    <row r="345" spans="1:5" x14ac:dyDescent="0.3">
      <c r="A345" s="7"/>
      <c r="D345" s="8"/>
      <c r="E345" s="8"/>
    </row>
    <row r="346" spans="1:5" x14ac:dyDescent="0.3">
      <c r="A346" s="7"/>
      <c r="D346" s="8"/>
      <c r="E346" s="8"/>
    </row>
    <row r="347" spans="1:5" x14ac:dyDescent="0.3">
      <c r="A347" s="7"/>
      <c r="D347" s="8"/>
      <c r="E347" s="8"/>
    </row>
    <row r="348" spans="1:5" x14ac:dyDescent="0.3">
      <c r="A348" s="7"/>
      <c r="D348" s="8"/>
      <c r="E348" s="8"/>
    </row>
    <row r="349" spans="1:5" x14ac:dyDescent="0.3">
      <c r="A349" s="7"/>
      <c r="D349" s="8"/>
      <c r="E349" s="8"/>
    </row>
    <row r="350" spans="1:5" x14ac:dyDescent="0.3">
      <c r="A350" s="7"/>
      <c r="D350" s="8"/>
      <c r="E350" s="8"/>
    </row>
    <row r="351" spans="1:5" x14ac:dyDescent="0.3">
      <c r="A351" s="7"/>
      <c r="D351" s="8"/>
      <c r="E351" s="8"/>
    </row>
    <row r="352" spans="1:5" x14ac:dyDescent="0.3">
      <c r="A352" s="7"/>
      <c r="D352" s="8"/>
      <c r="E352" s="8"/>
    </row>
    <row r="353" spans="1:5" x14ac:dyDescent="0.3">
      <c r="A353" s="7"/>
      <c r="D353" s="8"/>
      <c r="E353" s="8"/>
    </row>
    <row r="354" spans="1:5" x14ac:dyDescent="0.3">
      <c r="A354" s="7"/>
      <c r="D354" s="8"/>
      <c r="E354" s="8"/>
    </row>
    <row r="355" spans="1:5" x14ac:dyDescent="0.3">
      <c r="A355" s="7"/>
      <c r="D355" s="8"/>
      <c r="E355" s="8"/>
    </row>
    <row r="356" spans="1:5" x14ac:dyDescent="0.3">
      <c r="A356" s="7"/>
      <c r="D356" s="8"/>
      <c r="E356" s="8"/>
    </row>
    <row r="357" spans="1:5" x14ac:dyDescent="0.3">
      <c r="A357" s="7"/>
      <c r="D357" s="8"/>
      <c r="E357" s="8"/>
    </row>
    <row r="358" spans="1:5" x14ac:dyDescent="0.3">
      <c r="A358" s="7"/>
      <c r="D358" s="8"/>
      <c r="E358" s="8"/>
    </row>
    <row r="359" spans="1:5" x14ac:dyDescent="0.3">
      <c r="A359" s="7"/>
      <c r="D359" s="8"/>
      <c r="E359" s="8"/>
    </row>
    <row r="360" spans="1:5" x14ac:dyDescent="0.3">
      <c r="A360" s="7"/>
      <c r="D360" s="8"/>
      <c r="E360" s="8"/>
    </row>
    <row r="361" spans="1:5" x14ac:dyDescent="0.3">
      <c r="A361" s="7"/>
      <c r="D361" s="8"/>
      <c r="E361" s="8"/>
    </row>
    <row r="362" spans="1:5" x14ac:dyDescent="0.3">
      <c r="A362" s="7"/>
      <c r="D362" s="8"/>
      <c r="E362" s="8"/>
    </row>
    <row r="363" spans="1:5" x14ac:dyDescent="0.3">
      <c r="A363" s="7"/>
      <c r="D363" s="8"/>
      <c r="E363" s="8"/>
    </row>
    <row r="364" spans="1:5" x14ac:dyDescent="0.3">
      <c r="A364" s="7"/>
      <c r="D364" s="8"/>
      <c r="E364" s="8"/>
    </row>
    <row r="365" spans="1:5" x14ac:dyDescent="0.3">
      <c r="A365" s="7"/>
      <c r="D365" s="8"/>
      <c r="E365" s="8"/>
    </row>
    <row r="366" spans="1:5" x14ac:dyDescent="0.3">
      <c r="A366" s="7"/>
      <c r="D366" s="8"/>
      <c r="E366" s="8"/>
    </row>
    <row r="367" spans="1:5" x14ac:dyDescent="0.3">
      <c r="A367" s="7"/>
      <c r="D367" s="8"/>
      <c r="E367" s="8"/>
    </row>
    <row r="368" spans="1:5" x14ac:dyDescent="0.3">
      <c r="A368" s="7"/>
      <c r="D368" s="8"/>
      <c r="E368" s="8"/>
    </row>
    <row r="369" spans="1:5" x14ac:dyDescent="0.3">
      <c r="A369" s="7"/>
      <c r="D369" s="8"/>
      <c r="E369" s="8"/>
    </row>
    <row r="370" spans="1:5" x14ac:dyDescent="0.3">
      <c r="A370" s="7"/>
      <c r="D370" s="8"/>
      <c r="E370" s="8"/>
    </row>
    <row r="371" spans="1:5" x14ac:dyDescent="0.3">
      <c r="A371" s="7"/>
      <c r="D371" s="8"/>
      <c r="E371" s="8"/>
    </row>
    <row r="372" spans="1:5" x14ac:dyDescent="0.3">
      <c r="A372" s="7"/>
      <c r="D372" s="8"/>
      <c r="E372" s="8"/>
    </row>
    <row r="373" spans="1:5" x14ac:dyDescent="0.3">
      <c r="A373" s="7"/>
      <c r="D373" s="8"/>
      <c r="E373" s="8"/>
    </row>
    <row r="374" spans="1:5" x14ac:dyDescent="0.3">
      <c r="A374" s="7"/>
      <c r="D374" s="8"/>
      <c r="E374" s="8"/>
    </row>
    <row r="375" spans="1:5" x14ac:dyDescent="0.3">
      <c r="A375" s="7"/>
      <c r="D375" s="8"/>
      <c r="E375" s="8"/>
    </row>
    <row r="376" spans="1:5" x14ac:dyDescent="0.3">
      <c r="A376" s="7"/>
      <c r="D376" s="8"/>
      <c r="E376" s="8"/>
    </row>
    <row r="377" spans="1:5" x14ac:dyDescent="0.3">
      <c r="A377" s="7"/>
      <c r="D377" s="8"/>
      <c r="E377" s="8"/>
    </row>
    <row r="378" spans="1:5" x14ac:dyDescent="0.3">
      <c r="A378" s="7"/>
      <c r="D378" s="8"/>
      <c r="E378" s="8"/>
    </row>
    <row r="379" spans="1:5" x14ac:dyDescent="0.3">
      <c r="A379" s="7"/>
      <c r="D379" s="8"/>
      <c r="E379" s="8"/>
    </row>
    <row r="380" spans="1:5" x14ac:dyDescent="0.3">
      <c r="A380" s="7"/>
      <c r="D380" s="8"/>
      <c r="E380" s="8"/>
    </row>
    <row r="381" spans="1:5" x14ac:dyDescent="0.3">
      <c r="A381" s="7"/>
      <c r="D381" s="8"/>
      <c r="E381" s="8"/>
    </row>
    <row r="382" spans="1:5" x14ac:dyDescent="0.3">
      <c r="A382" s="7"/>
      <c r="D382" s="8"/>
      <c r="E382" s="8"/>
    </row>
    <row r="383" spans="1:5" x14ac:dyDescent="0.3">
      <c r="A383" s="7"/>
      <c r="D383" s="8"/>
      <c r="E383" s="8"/>
    </row>
    <row r="384" spans="1:5" x14ac:dyDescent="0.3">
      <c r="A384" s="7"/>
      <c r="D384" s="8"/>
      <c r="E384" s="8"/>
    </row>
    <row r="385" spans="1:5" x14ac:dyDescent="0.3">
      <c r="A385" s="7"/>
      <c r="D385" s="8"/>
      <c r="E385" s="8"/>
    </row>
    <row r="386" spans="1:5" x14ac:dyDescent="0.3">
      <c r="A386" s="7"/>
      <c r="D386" s="8"/>
      <c r="E386" s="8"/>
    </row>
    <row r="387" spans="1:5" x14ac:dyDescent="0.3">
      <c r="A387" s="7"/>
      <c r="D387" s="8"/>
      <c r="E387" s="8"/>
    </row>
    <row r="388" spans="1:5" x14ac:dyDescent="0.3">
      <c r="A388" s="7"/>
      <c r="D388" s="8"/>
      <c r="E388" s="8"/>
    </row>
    <row r="389" spans="1:5" x14ac:dyDescent="0.3">
      <c r="A389" s="7"/>
      <c r="D389" s="8"/>
      <c r="E389" s="8"/>
    </row>
    <row r="390" spans="1:5" x14ac:dyDescent="0.3">
      <c r="A390" s="7"/>
      <c r="D390" s="8"/>
      <c r="E390" s="8"/>
    </row>
    <row r="391" spans="1:5" x14ac:dyDescent="0.3">
      <c r="A391" s="7"/>
      <c r="D391" s="8"/>
      <c r="E391" s="8"/>
    </row>
    <row r="392" spans="1:5" x14ac:dyDescent="0.3">
      <c r="A392" s="7"/>
      <c r="D392" s="8"/>
      <c r="E392" s="8"/>
    </row>
    <row r="393" spans="1:5" x14ac:dyDescent="0.3">
      <c r="A393" s="7"/>
      <c r="D393" s="8"/>
      <c r="E393" s="8"/>
    </row>
    <row r="394" spans="1:5" x14ac:dyDescent="0.3">
      <c r="A394" s="7"/>
      <c r="D394" s="8"/>
      <c r="E394" s="8"/>
    </row>
    <row r="395" spans="1:5" x14ac:dyDescent="0.3">
      <c r="A395" s="7"/>
      <c r="D395" s="8"/>
      <c r="E395" s="8"/>
    </row>
    <row r="396" spans="1:5" x14ac:dyDescent="0.3">
      <c r="A396" s="7"/>
      <c r="D396" s="8"/>
      <c r="E396" s="8"/>
    </row>
    <row r="397" spans="1:5" x14ac:dyDescent="0.3">
      <c r="A397" s="7"/>
      <c r="D397" s="8"/>
      <c r="E397" s="8"/>
    </row>
    <row r="398" spans="1:5" x14ac:dyDescent="0.3">
      <c r="A398" s="7"/>
      <c r="D398" s="8"/>
      <c r="E398" s="8"/>
    </row>
    <row r="399" spans="1:5" x14ac:dyDescent="0.3">
      <c r="A399" s="7"/>
      <c r="D399" s="8"/>
      <c r="E399" s="8"/>
    </row>
    <row r="400" spans="1:5" x14ac:dyDescent="0.3">
      <c r="A400" s="7"/>
      <c r="D400" s="8"/>
      <c r="E400" s="8"/>
    </row>
    <row r="401" spans="1:5" x14ac:dyDescent="0.3">
      <c r="A401" s="7"/>
      <c r="D401" s="8"/>
      <c r="E401" s="8"/>
    </row>
    <row r="402" spans="1:5" x14ac:dyDescent="0.3">
      <c r="A402" s="7"/>
      <c r="D402" s="8"/>
      <c r="E402" s="8"/>
    </row>
    <row r="403" spans="1:5" x14ac:dyDescent="0.3">
      <c r="A403" s="7"/>
      <c r="D403" s="8"/>
      <c r="E403" s="8"/>
    </row>
    <row r="404" spans="1:5" x14ac:dyDescent="0.3">
      <c r="A404" s="7"/>
      <c r="D404" s="8"/>
      <c r="E404" s="8"/>
    </row>
    <row r="405" spans="1:5" x14ac:dyDescent="0.3">
      <c r="A405" s="7"/>
      <c r="D405" s="8"/>
      <c r="E405" s="8"/>
    </row>
    <row r="406" spans="1:5" x14ac:dyDescent="0.3">
      <c r="A406" s="7"/>
      <c r="D406" s="8"/>
      <c r="E406" s="8"/>
    </row>
    <row r="407" spans="1:5" x14ac:dyDescent="0.3">
      <c r="A407" s="7"/>
      <c r="D407" s="8"/>
      <c r="E407" s="8"/>
    </row>
    <row r="408" spans="1:5" x14ac:dyDescent="0.3">
      <c r="A408" s="7"/>
      <c r="D408" s="8"/>
      <c r="E408" s="8"/>
    </row>
    <row r="409" spans="1:5" x14ac:dyDescent="0.3">
      <c r="A409" s="7"/>
      <c r="D409" s="8"/>
      <c r="E409" s="8"/>
    </row>
    <row r="410" spans="1:5" x14ac:dyDescent="0.3">
      <c r="A410" s="7"/>
      <c r="D410" s="8"/>
      <c r="E410" s="8"/>
    </row>
    <row r="411" spans="1:5" x14ac:dyDescent="0.3">
      <c r="A411" s="7"/>
      <c r="D411" s="8"/>
      <c r="E411" s="8"/>
    </row>
    <row r="412" spans="1:5" x14ac:dyDescent="0.3">
      <c r="A412" s="7"/>
      <c r="D412" s="8"/>
      <c r="E412" s="8"/>
    </row>
    <row r="413" spans="1:5" x14ac:dyDescent="0.3">
      <c r="A413" s="7"/>
      <c r="D413" s="8"/>
      <c r="E413" s="8"/>
    </row>
    <row r="414" spans="1:5" x14ac:dyDescent="0.3">
      <c r="A414" s="7"/>
      <c r="D414" s="8"/>
      <c r="E414" s="8"/>
    </row>
    <row r="415" spans="1:5" x14ac:dyDescent="0.3">
      <c r="A415" s="7"/>
      <c r="D415" s="8"/>
      <c r="E415" s="8"/>
    </row>
    <row r="416" spans="1:5" x14ac:dyDescent="0.3">
      <c r="A416" s="7"/>
      <c r="D416" s="8"/>
      <c r="E416" s="8"/>
    </row>
    <row r="417" spans="1:5" x14ac:dyDescent="0.3">
      <c r="A417" s="7"/>
      <c r="D417" s="8"/>
      <c r="E417" s="8"/>
    </row>
    <row r="418" spans="1:5" x14ac:dyDescent="0.3">
      <c r="A418" s="7"/>
      <c r="D418" s="8"/>
      <c r="E418" s="8"/>
    </row>
    <row r="419" spans="1:5" x14ac:dyDescent="0.3">
      <c r="A419" s="7"/>
      <c r="D419" s="8"/>
      <c r="E419" s="8"/>
    </row>
    <row r="420" spans="1:5" x14ac:dyDescent="0.3">
      <c r="A420" s="7"/>
      <c r="D420" s="8"/>
      <c r="E420" s="8"/>
    </row>
    <row r="421" spans="1:5" x14ac:dyDescent="0.3">
      <c r="A421" s="7"/>
      <c r="D421" s="8"/>
      <c r="E421" s="8"/>
    </row>
    <row r="422" spans="1:5" x14ac:dyDescent="0.3">
      <c r="A422" s="7"/>
      <c r="D422" s="8"/>
      <c r="E422" s="8"/>
    </row>
    <row r="423" spans="1:5" x14ac:dyDescent="0.3">
      <c r="A423" s="7"/>
      <c r="D423" s="8"/>
      <c r="E423" s="8"/>
    </row>
    <row r="424" spans="1:5" x14ac:dyDescent="0.3">
      <c r="A424" s="7"/>
      <c r="D424" s="8"/>
      <c r="E424" s="8"/>
    </row>
    <row r="425" spans="1:5" x14ac:dyDescent="0.3">
      <c r="A425" s="7"/>
      <c r="D425" s="8"/>
      <c r="E425" s="8"/>
    </row>
    <row r="426" spans="1:5" x14ac:dyDescent="0.3">
      <c r="A426" s="7"/>
      <c r="D426" s="8"/>
      <c r="E426" s="8"/>
    </row>
    <row r="427" spans="1:5" x14ac:dyDescent="0.3">
      <c r="A427" s="7"/>
      <c r="D427" s="8"/>
      <c r="E427" s="8"/>
    </row>
    <row r="428" spans="1:5" x14ac:dyDescent="0.3">
      <c r="A428" s="7"/>
      <c r="D428" s="8"/>
      <c r="E428" s="8"/>
    </row>
    <row r="429" spans="1:5" x14ac:dyDescent="0.3">
      <c r="A429" s="7"/>
      <c r="D429" s="8"/>
      <c r="E429" s="8"/>
    </row>
    <row r="430" spans="1:5" x14ac:dyDescent="0.3">
      <c r="A430" s="7"/>
      <c r="D430" s="8"/>
      <c r="E430" s="8"/>
    </row>
    <row r="431" spans="1:5" x14ac:dyDescent="0.3">
      <c r="A431" s="7"/>
      <c r="D431" s="8"/>
      <c r="E431" s="8"/>
    </row>
    <row r="432" spans="1:5" x14ac:dyDescent="0.3">
      <c r="A432" s="7"/>
      <c r="D432" s="8"/>
      <c r="E432" s="8"/>
    </row>
    <row r="433" spans="1:5" x14ac:dyDescent="0.3">
      <c r="A433" s="7"/>
      <c r="D433" s="8"/>
      <c r="E433" s="8"/>
    </row>
    <row r="434" spans="1:5" x14ac:dyDescent="0.3">
      <c r="A434" s="7"/>
      <c r="D434" s="8"/>
      <c r="E434" s="8"/>
    </row>
    <row r="435" spans="1:5" x14ac:dyDescent="0.3">
      <c r="A435" s="7"/>
      <c r="D435" s="8"/>
      <c r="E435" s="8"/>
    </row>
    <row r="436" spans="1:5" x14ac:dyDescent="0.3">
      <c r="A436" s="7"/>
      <c r="D436" s="8"/>
      <c r="E436" s="8"/>
    </row>
    <row r="437" spans="1:5" x14ac:dyDescent="0.3">
      <c r="A437" s="7"/>
      <c r="D437" s="8"/>
      <c r="E437" s="8"/>
    </row>
    <row r="438" spans="1:5" x14ac:dyDescent="0.3">
      <c r="A438" s="7"/>
      <c r="D438" s="8"/>
      <c r="E438" s="8"/>
    </row>
    <row r="439" spans="1:5" x14ac:dyDescent="0.3">
      <c r="A439" s="7"/>
      <c r="D439" s="8"/>
      <c r="E439" s="8"/>
    </row>
    <row r="440" spans="1:5" x14ac:dyDescent="0.3">
      <c r="A440" s="7"/>
      <c r="D440" s="8"/>
      <c r="E440" s="8"/>
    </row>
    <row r="441" spans="1:5" x14ac:dyDescent="0.3">
      <c r="A441" s="7"/>
      <c r="D441" s="8"/>
      <c r="E441" s="8"/>
    </row>
    <row r="442" spans="1:5" x14ac:dyDescent="0.3">
      <c r="A442" s="7"/>
      <c r="D442" s="8"/>
      <c r="E442" s="8"/>
    </row>
    <row r="443" spans="1:5" x14ac:dyDescent="0.3">
      <c r="A443" s="7"/>
      <c r="D443" s="8"/>
      <c r="E443" s="8"/>
    </row>
    <row r="444" spans="1:5" x14ac:dyDescent="0.3">
      <c r="A444" s="7"/>
      <c r="D444" s="8"/>
      <c r="E444" s="8"/>
    </row>
    <row r="445" spans="1:5" x14ac:dyDescent="0.3">
      <c r="A445" s="7"/>
      <c r="D445" s="8"/>
      <c r="E445" s="8"/>
    </row>
    <row r="446" spans="1:5" x14ac:dyDescent="0.3">
      <c r="A446" s="7"/>
      <c r="D446" s="8"/>
      <c r="E446" s="8"/>
    </row>
    <row r="447" spans="1:5" x14ac:dyDescent="0.3">
      <c r="A447" s="7"/>
      <c r="D447" s="8"/>
      <c r="E447" s="8"/>
    </row>
    <row r="448" spans="1:5" x14ac:dyDescent="0.3">
      <c r="A448" s="7"/>
      <c r="D448" s="8"/>
      <c r="E448" s="8"/>
    </row>
    <row r="449" spans="1:5" x14ac:dyDescent="0.3">
      <c r="A449" s="7"/>
      <c r="D449" s="8"/>
      <c r="E449" s="8"/>
    </row>
    <row r="450" spans="1:5" x14ac:dyDescent="0.3">
      <c r="A450" s="7"/>
      <c r="D450" s="8"/>
      <c r="E450" s="8"/>
    </row>
    <row r="451" spans="1:5" x14ac:dyDescent="0.3">
      <c r="A451" s="7"/>
      <c r="D451" s="8"/>
      <c r="E451" s="8"/>
    </row>
    <row r="452" spans="1:5" x14ac:dyDescent="0.3">
      <c r="A452" s="7"/>
      <c r="D452" s="8"/>
      <c r="E452" s="8"/>
    </row>
    <row r="453" spans="1:5" x14ac:dyDescent="0.3">
      <c r="A453" s="7"/>
      <c r="D453" s="8"/>
      <c r="E453" s="8"/>
    </row>
    <row r="454" spans="1:5" x14ac:dyDescent="0.3">
      <c r="A454" s="7"/>
      <c r="D454" s="8"/>
      <c r="E454" s="8"/>
    </row>
    <row r="455" spans="1:5" x14ac:dyDescent="0.3">
      <c r="A455" s="7"/>
      <c r="D455" s="8"/>
      <c r="E455" s="8"/>
    </row>
    <row r="456" spans="1:5" x14ac:dyDescent="0.3">
      <c r="A456" s="7"/>
      <c r="D456" s="8"/>
      <c r="E456" s="8"/>
    </row>
    <row r="457" spans="1:5" x14ac:dyDescent="0.3">
      <c r="A457" s="7"/>
      <c r="D457" s="8"/>
      <c r="E457" s="8"/>
    </row>
    <row r="458" spans="1:5" x14ac:dyDescent="0.3">
      <c r="A458" s="7"/>
      <c r="D458" s="8"/>
      <c r="E458" s="8"/>
    </row>
    <row r="459" spans="1:5" x14ac:dyDescent="0.3">
      <c r="A459" s="7"/>
      <c r="D459" s="8"/>
      <c r="E459" s="8"/>
    </row>
    <row r="460" spans="1:5" x14ac:dyDescent="0.3">
      <c r="A460" s="7"/>
      <c r="D460" s="8"/>
      <c r="E460" s="8"/>
    </row>
    <row r="461" spans="1:5" x14ac:dyDescent="0.3">
      <c r="A461" s="7"/>
      <c r="D461" s="8"/>
      <c r="E461" s="8"/>
    </row>
    <row r="462" spans="1:5" x14ac:dyDescent="0.3">
      <c r="A462" s="7"/>
      <c r="D462" s="8"/>
      <c r="E462" s="8"/>
    </row>
    <row r="463" spans="1:5" x14ac:dyDescent="0.3">
      <c r="A463" s="7"/>
      <c r="D463" s="8"/>
      <c r="E463" s="8"/>
    </row>
    <row r="464" spans="1:5" x14ac:dyDescent="0.3">
      <c r="A464" s="7"/>
      <c r="D464" s="8"/>
      <c r="E464" s="8"/>
    </row>
    <row r="465" spans="1:5" x14ac:dyDescent="0.3">
      <c r="A465" s="7"/>
      <c r="D465" s="8"/>
      <c r="E465" s="8"/>
    </row>
    <row r="466" spans="1:5" x14ac:dyDescent="0.3">
      <c r="A466" s="7"/>
      <c r="D466" s="8"/>
      <c r="E466" s="8"/>
    </row>
    <row r="467" spans="1:5" x14ac:dyDescent="0.3">
      <c r="A467" s="7"/>
      <c r="D467" s="8"/>
      <c r="E467" s="8"/>
    </row>
    <row r="468" spans="1:5" x14ac:dyDescent="0.3">
      <c r="A468" s="7"/>
      <c r="D468" s="8"/>
      <c r="E468" s="8"/>
    </row>
    <row r="469" spans="1:5" x14ac:dyDescent="0.3">
      <c r="A469" s="7"/>
      <c r="D469" s="8"/>
      <c r="E469" s="8"/>
    </row>
    <row r="470" spans="1:5" x14ac:dyDescent="0.3">
      <c r="A470" s="7"/>
      <c r="D470" s="8"/>
      <c r="E470" s="8"/>
    </row>
    <row r="471" spans="1:5" x14ac:dyDescent="0.3">
      <c r="A471" s="7"/>
      <c r="D471" s="8"/>
      <c r="E471" s="8"/>
    </row>
    <row r="472" spans="1:5" x14ac:dyDescent="0.3">
      <c r="A472" s="7"/>
      <c r="D472" s="8"/>
      <c r="E472" s="8"/>
    </row>
    <row r="473" spans="1:5" x14ac:dyDescent="0.3">
      <c r="A473" s="7"/>
      <c r="D473" s="8"/>
      <c r="E473" s="8"/>
    </row>
    <row r="474" spans="1:5" x14ac:dyDescent="0.3">
      <c r="A474" s="7"/>
      <c r="D474" s="8"/>
      <c r="E474" s="8"/>
    </row>
    <row r="475" spans="1:5" x14ac:dyDescent="0.3">
      <c r="A475" s="7"/>
      <c r="D475" s="8"/>
      <c r="E475" s="8"/>
    </row>
    <row r="476" spans="1:5" x14ac:dyDescent="0.3">
      <c r="A476" s="7"/>
      <c r="D476" s="8"/>
      <c r="E476" s="8"/>
    </row>
    <row r="477" spans="1:5" x14ac:dyDescent="0.3">
      <c r="A477" s="7"/>
      <c r="D477" s="8"/>
      <c r="E477" s="8"/>
    </row>
    <row r="478" spans="1:5" x14ac:dyDescent="0.3">
      <c r="A478" s="7"/>
      <c r="D478" s="8"/>
      <c r="E478" s="8"/>
    </row>
    <row r="479" spans="1:5" x14ac:dyDescent="0.3">
      <c r="A479" s="7"/>
      <c r="D479" s="8"/>
      <c r="E479" s="8"/>
    </row>
    <row r="480" spans="1:5" x14ac:dyDescent="0.3">
      <c r="A480" s="7"/>
      <c r="D480" s="8"/>
      <c r="E480" s="8"/>
    </row>
    <row r="481" spans="1:5" x14ac:dyDescent="0.3">
      <c r="A481" s="7"/>
      <c r="D481" s="8"/>
      <c r="E481" s="8"/>
    </row>
    <row r="482" spans="1:5" x14ac:dyDescent="0.3">
      <c r="A482" s="7"/>
      <c r="D482" s="8"/>
      <c r="E482" s="8"/>
    </row>
    <row r="483" spans="1:5" x14ac:dyDescent="0.3">
      <c r="A483" s="7"/>
      <c r="D483" s="8"/>
      <c r="E483" s="8"/>
    </row>
    <row r="484" spans="1:5" x14ac:dyDescent="0.3">
      <c r="A484" s="7"/>
      <c r="D484" s="8"/>
      <c r="E484" s="8"/>
    </row>
    <row r="485" spans="1:5" x14ac:dyDescent="0.3">
      <c r="A485" s="7"/>
      <c r="D485" s="8"/>
      <c r="E485" s="8"/>
    </row>
    <row r="486" spans="1:5" x14ac:dyDescent="0.3">
      <c r="A486" s="7"/>
      <c r="D486" s="8"/>
      <c r="E486" s="8"/>
    </row>
    <row r="487" spans="1:5" x14ac:dyDescent="0.3">
      <c r="A487" s="7"/>
      <c r="D487" s="8"/>
      <c r="E487" s="8"/>
    </row>
    <row r="488" spans="1:5" x14ac:dyDescent="0.3">
      <c r="A488" s="7"/>
      <c r="D488" s="8"/>
      <c r="E488" s="8"/>
    </row>
    <row r="489" spans="1:5" x14ac:dyDescent="0.3">
      <c r="A489" s="7"/>
      <c r="D489" s="8"/>
      <c r="E489" s="8"/>
    </row>
    <row r="490" spans="1:5" x14ac:dyDescent="0.3">
      <c r="A490" s="7"/>
      <c r="D490" s="8"/>
      <c r="E490" s="8"/>
    </row>
    <row r="491" spans="1:5" x14ac:dyDescent="0.3">
      <c r="A491" s="7"/>
      <c r="D491" s="8"/>
      <c r="E491" s="8"/>
    </row>
    <row r="492" spans="1:5" x14ac:dyDescent="0.3">
      <c r="A492" s="7"/>
      <c r="D492" s="8"/>
      <c r="E492" s="8"/>
    </row>
    <row r="493" spans="1:5" x14ac:dyDescent="0.3">
      <c r="A493" s="7"/>
      <c r="D493" s="8"/>
      <c r="E493" s="8"/>
    </row>
    <row r="494" spans="1:5" x14ac:dyDescent="0.3">
      <c r="A494" s="7"/>
      <c r="D494" s="8"/>
      <c r="E494" s="8"/>
    </row>
    <row r="495" spans="1:5" x14ac:dyDescent="0.3">
      <c r="A495" s="7"/>
      <c r="D495" s="8"/>
      <c r="E495" s="8"/>
    </row>
    <row r="496" spans="1:5" x14ac:dyDescent="0.3">
      <c r="A496" s="7"/>
      <c r="D496" s="8"/>
      <c r="E496" s="8"/>
    </row>
    <row r="497" spans="1:5" x14ac:dyDescent="0.3">
      <c r="A497" s="7"/>
      <c r="D497" s="8"/>
      <c r="E497" s="8"/>
    </row>
    <row r="498" spans="1:5" x14ac:dyDescent="0.3">
      <c r="A498" s="7"/>
      <c r="D498" s="8"/>
      <c r="E498" s="8"/>
    </row>
    <row r="499" spans="1:5" x14ac:dyDescent="0.3">
      <c r="A499" s="7"/>
      <c r="D499" s="8"/>
      <c r="E499" s="8"/>
    </row>
    <row r="500" spans="1:5" x14ac:dyDescent="0.3">
      <c r="A500" s="7"/>
      <c r="D500" s="8"/>
      <c r="E500" s="8"/>
    </row>
    <row r="501" spans="1:5" x14ac:dyDescent="0.3">
      <c r="A501" s="7"/>
      <c r="D501" s="8"/>
      <c r="E501" s="8"/>
    </row>
  </sheetData>
  <phoneticPr fontId="4" type="noConversion"/>
  <dataValidations count="2">
    <dataValidation type="list" allowBlank="1" showInputMessage="1" showErrorMessage="1" sqref="B2:B501" xr:uid="{C19CF00A-4AE6-4B78-8F21-68107C0CE42E}">
      <formula1>姓名列表</formula1>
    </dataValidation>
    <dataValidation type="list" allowBlank="1" showInputMessage="1" showErrorMessage="1" sqref="F2:F501" xr:uid="{9FA7D1DE-DCF9-4182-8282-EDF18EF7EAC3}">
      <formula1>"现金,微信,支付宝,银行卡,其他"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60DF-2A19-4B25-BD72-7ECB4E726BC2}">
  <dimension ref="A1:G45"/>
  <sheetViews>
    <sheetView showGridLines="0" workbookViewId="0">
      <pane ySplit="1" topLeftCell="A2" activePane="bottomLeft" state="frozenSplit"/>
      <selection pane="bottomLeft"/>
    </sheetView>
  </sheetViews>
  <sheetFormatPr defaultRowHeight="14" x14ac:dyDescent="0.3"/>
  <cols>
    <col min="1" max="1" width="10.58203125" customWidth="1"/>
    <col min="2" max="2" width="14.58203125" customWidth="1"/>
    <col min="3" max="5" width="18.58203125" customWidth="1"/>
    <col min="6" max="6" width="12.58203125" customWidth="1"/>
    <col min="7" max="7" width="16.58203125" customWidth="1"/>
  </cols>
  <sheetData>
    <row r="1" spans="1:7" x14ac:dyDescent="0.3">
      <c r="A1" s="6" t="s">
        <v>13</v>
      </c>
      <c r="B1" s="6" t="s">
        <v>14</v>
      </c>
      <c r="C1" s="6" t="s">
        <v>66</v>
      </c>
      <c r="D1" s="6" t="s">
        <v>67</v>
      </c>
      <c r="E1" s="6" t="s">
        <v>68</v>
      </c>
      <c r="F1" s="6" t="s">
        <v>69</v>
      </c>
      <c r="G1" s="6" t="s">
        <v>70</v>
      </c>
    </row>
    <row r="2" spans="1:7" x14ac:dyDescent="0.3">
      <c r="A2">
        <v>1</v>
      </c>
      <c r="B2" t="s">
        <v>15</v>
      </c>
      <c r="C2" s="8">
        <f>SUMIFS(收支明细!D:D,收支明细!B:B,B2)</f>
        <v>0</v>
      </c>
      <c r="D2" s="8">
        <f>SUMIFS(收支明细!E:E,收支明细!B:B,B2)</f>
        <v>0</v>
      </c>
      <c r="E2" s="8">
        <f>C2-D2</f>
        <v>0</v>
      </c>
      <c r="F2">
        <f>COUNTIF(收支明细!B:B,B2)</f>
        <v>0</v>
      </c>
      <c r="G2" s="7" t="str">
        <f>IFERROR(_xlfn.AGGREGATE(14,6,收支明细!A$2:A$501/(收支明细!B$2:B$501=B2),1),"")</f>
        <v/>
      </c>
    </row>
    <row r="3" spans="1:7" x14ac:dyDescent="0.3">
      <c r="A3">
        <v>2</v>
      </c>
      <c r="B3" t="s">
        <v>16</v>
      </c>
      <c r="C3" s="8">
        <f>SUMIFS(收支明细!D:D,收支明细!B:B,B3)</f>
        <v>0</v>
      </c>
      <c r="D3" s="8">
        <f>SUMIFS(收支明细!E:E,收支明细!B:B,B3)</f>
        <v>0</v>
      </c>
      <c r="E3" s="8">
        <f>C3-D3</f>
        <v>0</v>
      </c>
      <c r="F3">
        <f>COUNTIF(收支明细!B:B,B3)</f>
        <v>0</v>
      </c>
      <c r="G3" s="7" t="str">
        <f>IFERROR(_xlfn.AGGREGATE(14,6,收支明细!A$2:A$501/(收支明细!B$2:B$501=B3),1),"")</f>
        <v/>
      </c>
    </row>
    <row r="4" spans="1:7" x14ac:dyDescent="0.3">
      <c r="A4">
        <v>3</v>
      </c>
      <c r="B4" t="s">
        <v>17</v>
      </c>
      <c r="C4" s="8">
        <f>SUMIFS(收支明细!D:D,收支明细!B:B,B4)</f>
        <v>0</v>
      </c>
      <c r="D4" s="8">
        <f>SUMIFS(收支明细!E:E,收支明细!B:B,B4)</f>
        <v>0</v>
      </c>
      <c r="E4" s="8">
        <f>C4-D4</f>
        <v>0</v>
      </c>
      <c r="F4">
        <f>COUNTIF(收支明细!B:B,B4)</f>
        <v>0</v>
      </c>
      <c r="G4" s="7" t="str">
        <f>IFERROR(_xlfn.AGGREGATE(14,6,收支明细!A$2:A$501/(收支明细!B$2:B$501=B4),1),"")</f>
        <v/>
      </c>
    </row>
    <row r="5" spans="1:7" x14ac:dyDescent="0.3">
      <c r="A5">
        <v>4</v>
      </c>
      <c r="B5" t="s">
        <v>18</v>
      </c>
      <c r="C5" s="8">
        <f>SUMIFS(收支明细!D:D,收支明细!B:B,B5)</f>
        <v>0</v>
      </c>
      <c r="D5" s="8">
        <f>SUMIFS(收支明细!E:E,收支明细!B:B,B5)</f>
        <v>0</v>
      </c>
      <c r="E5" s="8">
        <f>C5-D5</f>
        <v>0</v>
      </c>
      <c r="F5">
        <f>COUNTIF(收支明细!B:B,B5)</f>
        <v>0</v>
      </c>
      <c r="G5" s="7" t="str">
        <f>IFERROR(_xlfn.AGGREGATE(14,6,收支明细!A$2:A$501/(收支明细!B$2:B$501=B5),1),"")</f>
        <v/>
      </c>
    </row>
    <row r="6" spans="1:7" x14ac:dyDescent="0.3">
      <c r="A6">
        <v>5</v>
      </c>
      <c r="B6" t="s">
        <v>19</v>
      </c>
      <c r="C6" s="8">
        <f>SUMIFS(收支明细!D:D,收支明细!B:B,B6)</f>
        <v>0</v>
      </c>
      <c r="D6" s="8">
        <f>SUMIFS(收支明细!E:E,收支明细!B:B,B6)</f>
        <v>0</v>
      </c>
      <c r="E6" s="8">
        <f>C6-D6</f>
        <v>0</v>
      </c>
      <c r="F6">
        <f>COUNTIF(收支明细!B:B,B6)</f>
        <v>0</v>
      </c>
      <c r="G6" s="7" t="str">
        <f>IFERROR(_xlfn.AGGREGATE(14,6,收支明细!A$2:A$501/(收支明细!B$2:B$501=B6),1),"")</f>
        <v/>
      </c>
    </row>
    <row r="7" spans="1:7" x14ac:dyDescent="0.3">
      <c r="A7">
        <v>6</v>
      </c>
      <c r="B7" t="s">
        <v>20</v>
      </c>
      <c r="C7" s="8">
        <f>SUMIFS(收支明细!D:D,收支明细!B:B,B7)</f>
        <v>0</v>
      </c>
      <c r="D7" s="8">
        <f>SUMIFS(收支明细!E:E,收支明细!B:B,B7)</f>
        <v>0</v>
      </c>
      <c r="E7" s="8">
        <f>C7-D7</f>
        <v>0</v>
      </c>
      <c r="F7">
        <f>COUNTIF(收支明细!B:B,B7)</f>
        <v>0</v>
      </c>
      <c r="G7" s="7" t="str">
        <f>IFERROR(_xlfn.AGGREGATE(14,6,收支明细!A$2:A$501/(收支明细!B$2:B$501=B7),1),"")</f>
        <v/>
      </c>
    </row>
    <row r="8" spans="1:7" x14ac:dyDescent="0.3">
      <c r="A8">
        <v>7</v>
      </c>
      <c r="B8" t="s">
        <v>21</v>
      </c>
      <c r="C8" s="8">
        <f>SUMIFS(收支明细!D:D,收支明细!B:B,B8)</f>
        <v>0</v>
      </c>
      <c r="D8" s="8">
        <f>SUMIFS(收支明细!E:E,收支明细!B:B,B8)</f>
        <v>0</v>
      </c>
      <c r="E8" s="8">
        <f>C8-D8</f>
        <v>0</v>
      </c>
      <c r="F8">
        <f>COUNTIF(收支明细!B:B,B8)</f>
        <v>0</v>
      </c>
      <c r="G8" s="7" t="str">
        <f>IFERROR(_xlfn.AGGREGATE(14,6,收支明细!A$2:A$501/(收支明细!B$2:B$501=B8),1),"")</f>
        <v/>
      </c>
    </row>
    <row r="9" spans="1:7" x14ac:dyDescent="0.3">
      <c r="A9">
        <v>8</v>
      </c>
      <c r="B9" t="s">
        <v>22</v>
      </c>
      <c r="C9" s="8">
        <f>SUMIFS(收支明细!D:D,收支明细!B:B,B9)</f>
        <v>0</v>
      </c>
      <c r="D9" s="8">
        <f>SUMIFS(收支明细!E:E,收支明细!B:B,B9)</f>
        <v>0</v>
      </c>
      <c r="E9" s="8">
        <f>C9-D9</f>
        <v>0</v>
      </c>
      <c r="F9">
        <f>COUNTIF(收支明细!B:B,B9)</f>
        <v>0</v>
      </c>
      <c r="G9" s="7" t="str">
        <f>IFERROR(_xlfn.AGGREGATE(14,6,收支明细!A$2:A$501/(收支明细!B$2:B$501=B9),1),"")</f>
        <v/>
      </c>
    </row>
    <row r="10" spans="1:7" x14ac:dyDescent="0.3">
      <c r="A10">
        <v>9</v>
      </c>
      <c r="B10" t="s">
        <v>23</v>
      </c>
      <c r="C10" s="8">
        <f>SUMIFS(收支明细!D:D,收支明细!B:B,B10)</f>
        <v>0</v>
      </c>
      <c r="D10" s="8">
        <f>SUMIFS(收支明细!E:E,收支明细!B:B,B10)</f>
        <v>0</v>
      </c>
      <c r="E10" s="8">
        <f>C10-D10</f>
        <v>0</v>
      </c>
      <c r="F10">
        <f>COUNTIF(收支明细!B:B,B10)</f>
        <v>0</v>
      </c>
      <c r="G10" s="7" t="str">
        <f>IFERROR(_xlfn.AGGREGATE(14,6,收支明细!A$2:A$501/(收支明细!B$2:B$501=B10),1),"")</f>
        <v/>
      </c>
    </row>
    <row r="11" spans="1:7" x14ac:dyDescent="0.3">
      <c r="A11">
        <v>10</v>
      </c>
      <c r="B11" t="s">
        <v>24</v>
      </c>
      <c r="C11" s="8">
        <f>SUMIFS(收支明细!D:D,收支明细!B:B,B11)</f>
        <v>0</v>
      </c>
      <c r="D11" s="8">
        <f>SUMIFS(收支明细!E:E,收支明细!B:B,B11)</f>
        <v>0</v>
      </c>
      <c r="E11" s="8">
        <f>C11-D11</f>
        <v>0</v>
      </c>
      <c r="F11">
        <f>COUNTIF(收支明细!B:B,B11)</f>
        <v>0</v>
      </c>
      <c r="G11" s="7" t="str">
        <f>IFERROR(_xlfn.AGGREGATE(14,6,收支明细!A$2:A$501/(收支明细!B$2:B$501=B11),1),"")</f>
        <v/>
      </c>
    </row>
    <row r="12" spans="1:7" x14ac:dyDescent="0.3">
      <c r="A12">
        <v>11</v>
      </c>
      <c r="B12" t="s">
        <v>25</v>
      </c>
      <c r="C12" s="8">
        <f>SUMIFS(收支明细!D:D,收支明细!B:B,B12)</f>
        <v>0</v>
      </c>
      <c r="D12" s="8">
        <f>SUMIFS(收支明细!E:E,收支明细!B:B,B12)</f>
        <v>0</v>
      </c>
      <c r="E12" s="8">
        <f>C12-D12</f>
        <v>0</v>
      </c>
      <c r="F12">
        <f>COUNTIF(收支明细!B:B,B12)</f>
        <v>0</v>
      </c>
      <c r="G12" s="7" t="str">
        <f>IFERROR(_xlfn.AGGREGATE(14,6,收支明细!A$2:A$501/(收支明细!B$2:B$501=B12),1),"")</f>
        <v/>
      </c>
    </row>
    <row r="13" spans="1:7" x14ac:dyDescent="0.3">
      <c r="A13">
        <v>12</v>
      </c>
      <c r="B13" t="s">
        <v>26</v>
      </c>
      <c r="C13" s="8">
        <f>SUMIFS(收支明细!D:D,收支明细!B:B,B13)</f>
        <v>0</v>
      </c>
      <c r="D13" s="8">
        <f>SUMIFS(收支明细!E:E,收支明细!B:B,B13)</f>
        <v>0</v>
      </c>
      <c r="E13" s="8">
        <f>C13-D13</f>
        <v>0</v>
      </c>
      <c r="F13">
        <f>COUNTIF(收支明细!B:B,B13)</f>
        <v>0</v>
      </c>
      <c r="G13" s="7" t="str">
        <f>IFERROR(_xlfn.AGGREGATE(14,6,收支明细!A$2:A$501/(收支明细!B$2:B$501=B13),1),"")</f>
        <v/>
      </c>
    </row>
    <row r="14" spans="1:7" x14ac:dyDescent="0.3">
      <c r="A14">
        <v>13</v>
      </c>
      <c r="B14" t="s">
        <v>27</v>
      </c>
      <c r="C14" s="8">
        <f>SUMIFS(收支明细!D:D,收支明细!B:B,B14)</f>
        <v>0</v>
      </c>
      <c r="D14" s="8">
        <f>SUMIFS(收支明细!E:E,收支明细!B:B,B14)</f>
        <v>0</v>
      </c>
      <c r="E14" s="8">
        <f>C14-D14</f>
        <v>0</v>
      </c>
      <c r="F14">
        <f>COUNTIF(收支明细!B:B,B14)</f>
        <v>0</v>
      </c>
      <c r="G14" s="7" t="str">
        <f>IFERROR(_xlfn.AGGREGATE(14,6,收支明细!A$2:A$501/(收支明细!B$2:B$501=B14),1),"")</f>
        <v/>
      </c>
    </row>
    <row r="15" spans="1:7" x14ac:dyDescent="0.3">
      <c r="A15">
        <v>14</v>
      </c>
      <c r="B15" t="s">
        <v>28</v>
      </c>
      <c r="C15" s="8">
        <f>SUMIFS(收支明细!D:D,收支明细!B:B,B15)</f>
        <v>0</v>
      </c>
      <c r="D15" s="8">
        <f>SUMIFS(收支明细!E:E,收支明细!B:B,B15)</f>
        <v>0</v>
      </c>
      <c r="E15" s="8">
        <f>C15-D15</f>
        <v>0</v>
      </c>
      <c r="F15">
        <f>COUNTIF(收支明细!B:B,B15)</f>
        <v>0</v>
      </c>
      <c r="G15" s="7" t="str">
        <f>IFERROR(_xlfn.AGGREGATE(14,6,收支明细!A$2:A$501/(收支明细!B$2:B$501=B15),1),"")</f>
        <v/>
      </c>
    </row>
    <row r="16" spans="1:7" x14ac:dyDescent="0.3">
      <c r="A16">
        <v>15</v>
      </c>
      <c r="B16" t="s">
        <v>29</v>
      </c>
      <c r="C16" s="8">
        <f>SUMIFS(收支明细!D:D,收支明细!B:B,B16)</f>
        <v>0</v>
      </c>
      <c r="D16" s="8">
        <f>SUMIFS(收支明细!E:E,收支明细!B:B,B16)</f>
        <v>0</v>
      </c>
      <c r="E16" s="8">
        <f>C16-D16</f>
        <v>0</v>
      </c>
      <c r="F16">
        <f>COUNTIF(收支明细!B:B,B16)</f>
        <v>0</v>
      </c>
      <c r="G16" s="7" t="str">
        <f>IFERROR(_xlfn.AGGREGATE(14,6,收支明细!A$2:A$501/(收支明细!B$2:B$501=B16),1),"")</f>
        <v/>
      </c>
    </row>
    <row r="17" spans="1:7" x14ac:dyDescent="0.3">
      <c r="A17">
        <v>16</v>
      </c>
      <c r="B17" t="s">
        <v>30</v>
      </c>
      <c r="C17" s="8">
        <f>SUMIFS(收支明细!D:D,收支明细!B:B,B17)</f>
        <v>0</v>
      </c>
      <c r="D17" s="8">
        <f>SUMIFS(收支明细!E:E,收支明细!B:B,B17)</f>
        <v>0</v>
      </c>
      <c r="E17" s="8">
        <f>C17-D17</f>
        <v>0</v>
      </c>
      <c r="F17">
        <f>COUNTIF(收支明细!B:B,B17)</f>
        <v>0</v>
      </c>
      <c r="G17" s="7" t="str">
        <f>IFERROR(_xlfn.AGGREGATE(14,6,收支明细!A$2:A$501/(收支明细!B$2:B$501=B17),1),"")</f>
        <v/>
      </c>
    </row>
    <row r="18" spans="1:7" x14ac:dyDescent="0.3">
      <c r="A18">
        <v>17</v>
      </c>
      <c r="B18" t="s">
        <v>31</v>
      </c>
      <c r="C18" s="8">
        <f>SUMIFS(收支明细!D:D,收支明细!B:B,B18)</f>
        <v>0</v>
      </c>
      <c r="D18" s="8">
        <f>SUMIFS(收支明细!E:E,收支明细!B:B,B18)</f>
        <v>0</v>
      </c>
      <c r="E18" s="8">
        <f>C18-D18</f>
        <v>0</v>
      </c>
      <c r="F18">
        <f>COUNTIF(收支明细!B:B,B18)</f>
        <v>0</v>
      </c>
      <c r="G18" s="7" t="str">
        <f>IFERROR(_xlfn.AGGREGATE(14,6,收支明细!A$2:A$501/(收支明细!B$2:B$501=B18),1),"")</f>
        <v/>
      </c>
    </row>
    <row r="19" spans="1:7" x14ac:dyDescent="0.3">
      <c r="A19">
        <v>18</v>
      </c>
      <c r="B19" t="s">
        <v>32</v>
      </c>
      <c r="C19" s="8">
        <f>SUMIFS(收支明细!D:D,收支明细!B:B,B19)</f>
        <v>0</v>
      </c>
      <c r="D19" s="8">
        <f>SUMIFS(收支明细!E:E,收支明细!B:B,B19)</f>
        <v>0</v>
      </c>
      <c r="E19" s="8">
        <f>C19-D19</f>
        <v>0</v>
      </c>
      <c r="F19">
        <f>COUNTIF(收支明细!B:B,B19)</f>
        <v>0</v>
      </c>
      <c r="G19" s="7" t="str">
        <f>IFERROR(_xlfn.AGGREGATE(14,6,收支明细!A$2:A$501/(收支明细!B$2:B$501=B19),1),"")</f>
        <v/>
      </c>
    </row>
    <row r="20" spans="1:7" x14ac:dyDescent="0.3">
      <c r="A20">
        <v>19</v>
      </c>
      <c r="B20" t="s">
        <v>33</v>
      </c>
      <c r="C20" s="8">
        <f>SUMIFS(收支明细!D:D,收支明细!B:B,B20)</f>
        <v>0</v>
      </c>
      <c r="D20" s="8">
        <f>SUMIFS(收支明细!E:E,收支明细!B:B,B20)</f>
        <v>0</v>
      </c>
      <c r="E20" s="8">
        <f>C20-D20</f>
        <v>0</v>
      </c>
      <c r="F20">
        <f>COUNTIF(收支明细!B:B,B20)</f>
        <v>0</v>
      </c>
      <c r="G20" s="7" t="str">
        <f>IFERROR(_xlfn.AGGREGATE(14,6,收支明细!A$2:A$501/(收支明细!B$2:B$501=B20),1),"")</f>
        <v/>
      </c>
    </row>
    <row r="21" spans="1:7" x14ac:dyDescent="0.3">
      <c r="A21">
        <v>20</v>
      </c>
      <c r="B21" t="s">
        <v>34</v>
      </c>
      <c r="C21" s="8">
        <f>SUMIFS(收支明细!D:D,收支明细!B:B,B21)</f>
        <v>0</v>
      </c>
      <c r="D21" s="8">
        <f>SUMIFS(收支明细!E:E,收支明细!B:B,B21)</f>
        <v>0</v>
      </c>
      <c r="E21" s="8">
        <f>C21-D21</f>
        <v>0</v>
      </c>
      <c r="F21">
        <f>COUNTIF(收支明细!B:B,B21)</f>
        <v>0</v>
      </c>
      <c r="G21" s="7" t="str">
        <f>IFERROR(_xlfn.AGGREGATE(14,6,收支明细!A$2:A$501/(收支明细!B$2:B$501=B21),1),"")</f>
        <v/>
      </c>
    </row>
    <row r="22" spans="1:7" x14ac:dyDescent="0.3">
      <c r="A22">
        <v>21</v>
      </c>
      <c r="B22" t="s">
        <v>35</v>
      </c>
      <c r="C22" s="8">
        <f>SUMIFS(收支明细!D:D,收支明细!B:B,B22)</f>
        <v>0</v>
      </c>
      <c r="D22" s="8">
        <f>SUMIFS(收支明细!E:E,收支明细!B:B,B22)</f>
        <v>0</v>
      </c>
      <c r="E22" s="8">
        <f>C22-D22</f>
        <v>0</v>
      </c>
      <c r="F22">
        <f>COUNTIF(收支明细!B:B,B22)</f>
        <v>0</v>
      </c>
      <c r="G22" s="7" t="str">
        <f>IFERROR(_xlfn.AGGREGATE(14,6,收支明细!A$2:A$501/(收支明细!B$2:B$501=B22),1),"")</f>
        <v/>
      </c>
    </row>
    <row r="23" spans="1:7" x14ac:dyDescent="0.3">
      <c r="A23">
        <v>22</v>
      </c>
      <c r="B23" t="s">
        <v>36</v>
      </c>
      <c r="C23" s="8">
        <f>SUMIFS(收支明细!D:D,收支明细!B:B,B23)</f>
        <v>0</v>
      </c>
      <c r="D23" s="8">
        <f>SUMIFS(收支明细!E:E,收支明细!B:B,B23)</f>
        <v>0</v>
      </c>
      <c r="E23" s="8">
        <f>C23-D23</f>
        <v>0</v>
      </c>
      <c r="F23">
        <f>COUNTIF(收支明细!B:B,B23)</f>
        <v>0</v>
      </c>
      <c r="G23" s="7" t="str">
        <f>IFERROR(_xlfn.AGGREGATE(14,6,收支明细!A$2:A$501/(收支明细!B$2:B$501=B23),1),"")</f>
        <v/>
      </c>
    </row>
    <row r="24" spans="1:7" x14ac:dyDescent="0.3">
      <c r="A24">
        <v>23</v>
      </c>
      <c r="B24" t="s">
        <v>37</v>
      </c>
      <c r="C24" s="8">
        <f>SUMIFS(收支明细!D:D,收支明细!B:B,B24)</f>
        <v>0</v>
      </c>
      <c r="D24" s="8">
        <f>SUMIFS(收支明细!E:E,收支明细!B:B,B24)</f>
        <v>0</v>
      </c>
      <c r="E24" s="8">
        <f>C24-D24</f>
        <v>0</v>
      </c>
      <c r="F24">
        <f>COUNTIF(收支明细!B:B,B24)</f>
        <v>0</v>
      </c>
      <c r="G24" s="7" t="str">
        <f>IFERROR(_xlfn.AGGREGATE(14,6,收支明细!A$2:A$501/(收支明细!B$2:B$501=B24),1),"")</f>
        <v/>
      </c>
    </row>
    <row r="25" spans="1:7" x14ac:dyDescent="0.3">
      <c r="A25">
        <v>24</v>
      </c>
      <c r="B25" t="s">
        <v>38</v>
      </c>
      <c r="C25" s="8">
        <f>SUMIFS(收支明细!D:D,收支明细!B:B,B25)</f>
        <v>0</v>
      </c>
      <c r="D25" s="8">
        <f>SUMIFS(收支明细!E:E,收支明细!B:B,B25)</f>
        <v>0</v>
      </c>
      <c r="E25" s="8">
        <f>C25-D25</f>
        <v>0</v>
      </c>
      <c r="F25">
        <f>COUNTIF(收支明细!B:B,B25)</f>
        <v>0</v>
      </c>
      <c r="G25" s="7" t="str">
        <f>IFERROR(_xlfn.AGGREGATE(14,6,收支明细!A$2:A$501/(收支明细!B$2:B$501=B25),1),"")</f>
        <v/>
      </c>
    </row>
    <row r="26" spans="1:7" x14ac:dyDescent="0.3">
      <c r="A26">
        <v>25</v>
      </c>
      <c r="B26" t="s">
        <v>39</v>
      </c>
      <c r="C26" s="8">
        <f>SUMIFS(收支明细!D:D,收支明细!B:B,B26)</f>
        <v>0</v>
      </c>
      <c r="D26" s="8">
        <f>SUMIFS(收支明细!E:E,收支明细!B:B,B26)</f>
        <v>0</v>
      </c>
      <c r="E26" s="8">
        <f>C26-D26</f>
        <v>0</v>
      </c>
      <c r="F26">
        <f>COUNTIF(收支明细!B:B,B26)</f>
        <v>0</v>
      </c>
      <c r="G26" s="7" t="str">
        <f>IFERROR(_xlfn.AGGREGATE(14,6,收支明细!A$2:A$501/(收支明细!B$2:B$501=B26),1),"")</f>
        <v/>
      </c>
    </row>
    <row r="27" spans="1:7" x14ac:dyDescent="0.3">
      <c r="A27">
        <v>26</v>
      </c>
      <c r="B27" t="s">
        <v>40</v>
      </c>
      <c r="C27" s="8">
        <f>SUMIFS(收支明细!D:D,收支明细!B:B,B27)</f>
        <v>0</v>
      </c>
      <c r="D27" s="8">
        <f>SUMIFS(收支明细!E:E,收支明细!B:B,B27)</f>
        <v>0</v>
      </c>
      <c r="E27" s="8">
        <f>C27-D27</f>
        <v>0</v>
      </c>
      <c r="F27">
        <f>COUNTIF(收支明细!B:B,B27)</f>
        <v>0</v>
      </c>
      <c r="G27" s="7" t="str">
        <f>IFERROR(_xlfn.AGGREGATE(14,6,收支明细!A$2:A$501/(收支明细!B$2:B$501=B27),1),"")</f>
        <v/>
      </c>
    </row>
    <row r="28" spans="1:7" x14ac:dyDescent="0.3">
      <c r="A28">
        <v>27</v>
      </c>
      <c r="B28" t="s">
        <v>41</v>
      </c>
      <c r="C28" s="8">
        <f>SUMIFS(收支明细!D:D,收支明细!B:B,B28)</f>
        <v>0</v>
      </c>
      <c r="D28" s="8">
        <f>SUMIFS(收支明细!E:E,收支明细!B:B,B28)</f>
        <v>0</v>
      </c>
      <c r="E28" s="8">
        <f>C28-D28</f>
        <v>0</v>
      </c>
      <c r="F28">
        <f>COUNTIF(收支明细!B:B,B28)</f>
        <v>0</v>
      </c>
      <c r="G28" s="7" t="str">
        <f>IFERROR(_xlfn.AGGREGATE(14,6,收支明细!A$2:A$501/(收支明细!B$2:B$501=B28),1),"")</f>
        <v/>
      </c>
    </row>
    <row r="29" spans="1:7" x14ac:dyDescent="0.3">
      <c r="A29">
        <v>28</v>
      </c>
      <c r="B29" t="s">
        <v>42</v>
      </c>
      <c r="C29" s="8">
        <f>SUMIFS(收支明细!D:D,收支明细!B:B,B29)</f>
        <v>0</v>
      </c>
      <c r="D29" s="8">
        <f>SUMIFS(收支明细!E:E,收支明细!B:B,B29)</f>
        <v>0</v>
      </c>
      <c r="E29" s="8">
        <f>C29-D29</f>
        <v>0</v>
      </c>
      <c r="F29">
        <f>COUNTIF(收支明细!B:B,B29)</f>
        <v>0</v>
      </c>
      <c r="G29" s="7" t="str">
        <f>IFERROR(_xlfn.AGGREGATE(14,6,收支明细!A$2:A$501/(收支明细!B$2:B$501=B29),1),"")</f>
        <v/>
      </c>
    </row>
    <row r="30" spans="1:7" x14ac:dyDescent="0.3">
      <c r="A30">
        <v>29</v>
      </c>
      <c r="B30" t="s">
        <v>43</v>
      </c>
      <c r="C30" s="8">
        <f>SUMIFS(收支明细!D:D,收支明细!B:B,B30)</f>
        <v>0</v>
      </c>
      <c r="D30" s="8">
        <f>SUMIFS(收支明细!E:E,收支明细!B:B,B30)</f>
        <v>0</v>
      </c>
      <c r="E30" s="8">
        <f>C30-D30</f>
        <v>0</v>
      </c>
      <c r="F30">
        <f>COUNTIF(收支明细!B:B,B30)</f>
        <v>0</v>
      </c>
      <c r="G30" s="7" t="str">
        <f>IFERROR(_xlfn.AGGREGATE(14,6,收支明细!A$2:A$501/(收支明细!B$2:B$501=B30),1),"")</f>
        <v/>
      </c>
    </row>
    <row r="31" spans="1:7" x14ac:dyDescent="0.3">
      <c r="A31">
        <v>30</v>
      </c>
      <c r="B31" t="s">
        <v>44</v>
      </c>
      <c r="C31" s="8">
        <f>SUMIFS(收支明细!D:D,收支明细!B:B,B31)</f>
        <v>0</v>
      </c>
      <c r="D31" s="8">
        <f>SUMIFS(收支明细!E:E,收支明细!B:B,B31)</f>
        <v>0</v>
      </c>
      <c r="E31" s="8">
        <f>C31-D31</f>
        <v>0</v>
      </c>
      <c r="F31">
        <f>COUNTIF(收支明细!B:B,B31)</f>
        <v>0</v>
      </c>
      <c r="G31" s="7" t="str">
        <f>IFERROR(_xlfn.AGGREGATE(14,6,收支明细!A$2:A$501/(收支明细!B$2:B$501=B31),1),"")</f>
        <v/>
      </c>
    </row>
    <row r="32" spans="1:7" x14ac:dyDescent="0.3">
      <c r="A32">
        <v>31</v>
      </c>
      <c r="B32" t="s">
        <v>45</v>
      </c>
      <c r="C32" s="8">
        <f>SUMIFS(收支明细!D:D,收支明细!B:B,B32)</f>
        <v>0</v>
      </c>
      <c r="D32" s="8">
        <f>SUMIFS(收支明细!E:E,收支明细!B:B,B32)</f>
        <v>0</v>
      </c>
      <c r="E32" s="8">
        <f>C32-D32</f>
        <v>0</v>
      </c>
      <c r="F32">
        <f>COUNTIF(收支明细!B:B,B32)</f>
        <v>0</v>
      </c>
      <c r="G32" s="7" t="str">
        <f>IFERROR(_xlfn.AGGREGATE(14,6,收支明细!A$2:A$501/(收支明细!B$2:B$501=B32),1),"")</f>
        <v/>
      </c>
    </row>
    <row r="33" spans="1:7" x14ac:dyDescent="0.3">
      <c r="A33">
        <v>32</v>
      </c>
      <c r="B33" t="s">
        <v>46</v>
      </c>
      <c r="C33" s="8">
        <f>SUMIFS(收支明细!D:D,收支明细!B:B,B33)</f>
        <v>0</v>
      </c>
      <c r="D33" s="8">
        <f>SUMIFS(收支明细!E:E,收支明细!B:B,B33)</f>
        <v>0</v>
      </c>
      <c r="E33" s="8">
        <f>C33-D33</f>
        <v>0</v>
      </c>
      <c r="F33">
        <f>COUNTIF(收支明细!B:B,B33)</f>
        <v>0</v>
      </c>
      <c r="G33" s="7" t="str">
        <f>IFERROR(_xlfn.AGGREGATE(14,6,收支明细!A$2:A$501/(收支明细!B$2:B$501=B33),1),"")</f>
        <v/>
      </c>
    </row>
    <row r="34" spans="1:7" x14ac:dyDescent="0.3">
      <c r="A34">
        <v>33</v>
      </c>
      <c r="B34" t="s">
        <v>47</v>
      </c>
      <c r="C34" s="8">
        <f>SUMIFS(收支明细!D:D,收支明细!B:B,B34)</f>
        <v>0</v>
      </c>
      <c r="D34" s="8">
        <f>SUMIFS(收支明细!E:E,收支明细!B:B,B34)</f>
        <v>0</v>
      </c>
      <c r="E34" s="8">
        <f>C34-D34</f>
        <v>0</v>
      </c>
      <c r="F34">
        <f>COUNTIF(收支明细!B:B,B34)</f>
        <v>0</v>
      </c>
      <c r="G34" s="7" t="str">
        <f>IFERROR(_xlfn.AGGREGATE(14,6,收支明细!A$2:A$501/(收支明细!B$2:B$501=B34),1),"")</f>
        <v/>
      </c>
    </row>
    <row r="35" spans="1:7" x14ac:dyDescent="0.3">
      <c r="A35">
        <v>34</v>
      </c>
      <c r="B35" t="s">
        <v>48</v>
      </c>
      <c r="C35" s="8">
        <f>SUMIFS(收支明细!D:D,收支明细!B:B,B35)</f>
        <v>0</v>
      </c>
      <c r="D35" s="8">
        <f>SUMIFS(收支明细!E:E,收支明细!B:B,B35)</f>
        <v>0</v>
      </c>
      <c r="E35" s="8">
        <f>C35-D35</f>
        <v>0</v>
      </c>
      <c r="F35">
        <f>COUNTIF(收支明细!B:B,B35)</f>
        <v>0</v>
      </c>
      <c r="G35" s="7" t="str">
        <f>IFERROR(_xlfn.AGGREGATE(14,6,收支明细!A$2:A$501/(收支明细!B$2:B$501=B35),1),"")</f>
        <v/>
      </c>
    </row>
    <row r="36" spans="1:7" x14ac:dyDescent="0.3">
      <c r="A36">
        <v>35</v>
      </c>
      <c r="B36" t="s">
        <v>49</v>
      </c>
      <c r="C36" s="8">
        <f>SUMIFS(收支明细!D:D,收支明细!B:B,B36)</f>
        <v>0</v>
      </c>
      <c r="D36" s="8">
        <f>SUMIFS(收支明细!E:E,收支明细!B:B,B36)</f>
        <v>0</v>
      </c>
      <c r="E36" s="8">
        <f>C36-D36</f>
        <v>0</v>
      </c>
      <c r="F36">
        <f>COUNTIF(收支明细!B:B,B36)</f>
        <v>0</v>
      </c>
      <c r="G36" s="7" t="str">
        <f>IFERROR(_xlfn.AGGREGATE(14,6,收支明细!A$2:A$501/(收支明细!B$2:B$501=B36),1),"")</f>
        <v/>
      </c>
    </row>
    <row r="37" spans="1:7" x14ac:dyDescent="0.3">
      <c r="A37">
        <v>36</v>
      </c>
      <c r="B37" t="s">
        <v>50</v>
      </c>
      <c r="C37" s="8">
        <f>SUMIFS(收支明细!D:D,收支明细!B:B,B37)</f>
        <v>0</v>
      </c>
      <c r="D37" s="8">
        <f>SUMIFS(收支明细!E:E,收支明细!B:B,B37)</f>
        <v>0</v>
      </c>
      <c r="E37" s="8">
        <f>C37-D37</f>
        <v>0</v>
      </c>
      <c r="F37">
        <f>COUNTIF(收支明细!B:B,B37)</f>
        <v>0</v>
      </c>
      <c r="G37" s="7" t="str">
        <f>IFERROR(_xlfn.AGGREGATE(14,6,收支明细!A$2:A$501/(收支明细!B$2:B$501=B37),1),"")</f>
        <v/>
      </c>
    </row>
    <row r="38" spans="1:7" x14ac:dyDescent="0.3">
      <c r="A38">
        <v>37</v>
      </c>
      <c r="B38" t="s">
        <v>51</v>
      </c>
      <c r="C38" s="8">
        <f>SUMIFS(收支明细!D:D,收支明细!B:B,B38)</f>
        <v>0</v>
      </c>
      <c r="D38" s="8">
        <f>SUMIFS(收支明细!E:E,收支明细!B:B,B38)</f>
        <v>0</v>
      </c>
      <c r="E38" s="8">
        <f>C38-D38</f>
        <v>0</v>
      </c>
      <c r="F38">
        <f>COUNTIF(收支明细!B:B,B38)</f>
        <v>0</v>
      </c>
      <c r="G38" s="7" t="str">
        <f>IFERROR(_xlfn.AGGREGATE(14,6,收支明细!A$2:A$501/(收支明细!B$2:B$501=B38),1),"")</f>
        <v/>
      </c>
    </row>
    <row r="39" spans="1:7" x14ac:dyDescent="0.3">
      <c r="A39">
        <v>38</v>
      </c>
      <c r="B39" t="s">
        <v>52</v>
      </c>
      <c r="C39" s="8">
        <f>SUMIFS(收支明细!D:D,收支明细!B:B,B39)</f>
        <v>0</v>
      </c>
      <c r="D39" s="8">
        <f>SUMIFS(收支明细!E:E,收支明细!B:B,B39)</f>
        <v>0</v>
      </c>
      <c r="E39" s="8">
        <f>C39-D39</f>
        <v>0</v>
      </c>
      <c r="F39">
        <f>COUNTIF(收支明细!B:B,B39)</f>
        <v>0</v>
      </c>
      <c r="G39" s="7" t="str">
        <f>IFERROR(_xlfn.AGGREGATE(14,6,收支明细!A$2:A$501/(收支明细!B$2:B$501=B39),1),"")</f>
        <v/>
      </c>
    </row>
    <row r="40" spans="1:7" x14ac:dyDescent="0.3">
      <c r="A40">
        <v>39</v>
      </c>
      <c r="B40" t="s">
        <v>53</v>
      </c>
      <c r="C40" s="8">
        <f>SUMIFS(收支明细!D:D,收支明细!B:B,B40)</f>
        <v>0</v>
      </c>
      <c r="D40" s="8">
        <f>SUMIFS(收支明细!E:E,收支明细!B:B,B40)</f>
        <v>0</v>
      </c>
      <c r="E40" s="8">
        <f>C40-D40</f>
        <v>0</v>
      </c>
      <c r="F40">
        <f>COUNTIF(收支明细!B:B,B40)</f>
        <v>0</v>
      </c>
      <c r="G40" s="7" t="str">
        <f>IFERROR(_xlfn.AGGREGATE(14,6,收支明细!A$2:A$501/(收支明细!B$2:B$501=B40),1),"")</f>
        <v/>
      </c>
    </row>
    <row r="41" spans="1:7" x14ac:dyDescent="0.3">
      <c r="A41">
        <v>40</v>
      </c>
      <c r="B41" t="s">
        <v>54</v>
      </c>
      <c r="C41" s="8">
        <f>SUMIFS(收支明细!D:D,收支明细!B:B,B41)</f>
        <v>0</v>
      </c>
      <c r="D41" s="8">
        <f>SUMIFS(收支明细!E:E,收支明细!B:B,B41)</f>
        <v>0</v>
      </c>
      <c r="E41" s="8">
        <f>C41-D41</f>
        <v>0</v>
      </c>
      <c r="F41">
        <f>COUNTIF(收支明细!B:B,B41)</f>
        <v>0</v>
      </c>
      <c r="G41" s="7" t="str">
        <f>IFERROR(_xlfn.AGGREGATE(14,6,收支明细!A$2:A$501/(收支明细!B$2:B$501=B41),1),"")</f>
        <v/>
      </c>
    </row>
    <row r="42" spans="1:7" x14ac:dyDescent="0.3">
      <c r="A42">
        <v>41</v>
      </c>
      <c r="B42" t="s">
        <v>55</v>
      </c>
      <c r="C42" s="8">
        <f>SUMIFS(收支明细!D:D,收支明细!B:B,B42)</f>
        <v>0</v>
      </c>
      <c r="D42" s="8">
        <f>SUMIFS(收支明细!E:E,收支明细!B:B,B42)</f>
        <v>0</v>
      </c>
      <c r="E42" s="8">
        <f>C42-D42</f>
        <v>0</v>
      </c>
      <c r="F42">
        <f>COUNTIF(收支明细!B:B,B42)</f>
        <v>0</v>
      </c>
      <c r="G42" s="7" t="str">
        <f>IFERROR(_xlfn.AGGREGATE(14,6,收支明细!A$2:A$501/(收支明细!B$2:B$501=B42),1),"")</f>
        <v/>
      </c>
    </row>
    <row r="43" spans="1:7" x14ac:dyDescent="0.3">
      <c r="A43">
        <v>42</v>
      </c>
      <c r="B43" t="s">
        <v>56</v>
      </c>
      <c r="C43" s="8">
        <f>SUMIFS(收支明细!D:D,收支明细!B:B,B43)</f>
        <v>0</v>
      </c>
      <c r="D43" s="8">
        <f>SUMIFS(收支明细!E:E,收支明细!B:B,B43)</f>
        <v>0</v>
      </c>
      <c r="E43" s="8">
        <f>C43-D43</f>
        <v>0</v>
      </c>
      <c r="F43">
        <f>COUNTIF(收支明细!B:B,B43)</f>
        <v>0</v>
      </c>
      <c r="G43" s="7" t="str">
        <f>IFERROR(_xlfn.AGGREGATE(14,6,收支明细!A$2:A$501/(收支明细!B$2:B$501=B43),1),"")</f>
        <v/>
      </c>
    </row>
    <row r="44" spans="1:7" x14ac:dyDescent="0.3">
      <c r="A44">
        <v>43</v>
      </c>
      <c r="B44" t="s">
        <v>57</v>
      </c>
      <c r="C44" s="8">
        <f>SUMIFS(收支明细!D:D,收支明细!B:B,B44)</f>
        <v>0</v>
      </c>
      <c r="D44" s="8">
        <f>SUMIFS(收支明细!E:E,收支明细!B:B,B44)</f>
        <v>0</v>
      </c>
      <c r="E44" s="8">
        <f>C44-D44</f>
        <v>0</v>
      </c>
      <c r="F44">
        <f>COUNTIF(收支明细!B:B,B44)</f>
        <v>0</v>
      </c>
      <c r="G44" s="7" t="str">
        <f>IFERROR(_xlfn.AGGREGATE(14,6,收支明细!A$2:A$501/(收支明细!B$2:B$501=B44),1),"")</f>
        <v/>
      </c>
    </row>
    <row r="45" spans="1:7" x14ac:dyDescent="0.3">
      <c r="A45" s="3" t="s">
        <v>71</v>
      </c>
      <c r="C45" s="8">
        <f>SUM(C2:C44)</f>
        <v>0</v>
      </c>
      <c r="D45" s="8">
        <f>SUM(D2:D44)</f>
        <v>0</v>
      </c>
      <c r="E45" s="8">
        <f>C45-D45</f>
        <v>0</v>
      </c>
      <c r="F45">
        <f>SUM(F2:F44)</f>
        <v>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使用说明</vt:lpstr>
      <vt:lpstr>班级名单</vt:lpstr>
      <vt:lpstr>收支明细</vt:lpstr>
      <vt:lpstr>个人汇总</vt:lpstr>
      <vt:lpstr>姓名列表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Lin (Nokia)</dc:creator>
  <cp:lastModifiedBy>Stella Lin (Nokia)</cp:lastModifiedBy>
  <dcterms:created xsi:type="dcterms:W3CDTF">2026-09-01T04:25:56Z</dcterms:created>
  <dcterms:modified xsi:type="dcterms:W3CDTF">2026-09-01T04:26:01Z</dcterms:modified>
</cp:coreProperties>
</file>