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总览" sheetId="1" state="visible" r:id="rId1"/>
    <sheet xmlns:r="http://schemas.openxmlformats.org/officeDocument/2006/relationships" name="逐日行程" sheetId="2" state="visible" r:id="rId2"/>
    <sheet xmlns:r="http://schemas.openxmlformats.org/officeDocument/2006/relationships" name="预订与预算" sheetId="3" state="visible" r:id="rId3"/>
    <sheet xmlns:r="http://schemas.openxmlformats.org/officeDocument/2006/relationships" name="酒店筛选" sheetId="4" state="visible" r:id="rId4"/>
    <sheet xmlns:r="http://schemas.openxmlformats.org/officeDocument/2006/relationships" name="打包清单" sheetId="5" state="visible" r:id="rId5"/>
    <sheet xmlns:r="http://schemas.openxmlformats.org/officeDocument/2006/relationships" name="地图与资料" sheetId="6" state="visible" r:id="rId6"/>
    <sheet xmlns:r="http://schemas.openxmlformats.org/officeDocument/2006/relationships" name="应急卡" sheetId="7" state="visible" r:id="rId7"/>
  </sheets>
  <definedNames>
    <definedName name="_xlnm._FilterDatabase" localSheetId="0" hidden="1">'行程总览'!$A$1:$B$1</definedName>
    <definedName name="_xlnm._FilterDatabase" localSheetId="1" hidden="1">'逐日行程'!$A$1:$M$9</definedName>
    <definedName name="_xlnm._FilterDatabase" localSheetId="2" hidden="1">'预订与预算'!$A$1:$N$19</definedName>
    <definedName name="_xlnm._FilterDatabase" localSheetId="3" hidden="1">'酒店筛选'!$A$1:$I$5</definedName>
    <definedName name="_xlnm._FilterDatabase" localSheetId="4" hidden="1">'打包清单'!$A$1:$E$19</definedName>
    <definedName name="_xlnm._FilterDatabase" localSheetId="5" hidden="1">'地图与资料'!$A$1:$D$30</definedName>
    <definedName name="_xlnm._FilterDatabase" localSheetId="6" hidden="1">'应急卡'!$A$1:$C$12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B7895"/>
    </font>
    <font>
      <name val="Calibri"/>
      <family val="2"/>
      <color theme="10"/>
      <sz val="12"/>
      <scheme val="minor"/>
    </font>
    <font>
      <b val="1"/>
      <color rgb="0017324D"/>
    </font>
  </fonts>
  <fills count="5">
    <fill>
      <patternFill/>
    </fill>
    <fill>
      <patternFill patternType="gray125"/>
    </fill>
    <fill>
      <patternFill patternType="solid">
        <fgColor rgb="000B7895"/>
      </patternFill>
    </fill>
    <fill>
      <patternFill patternType="solid">
        <fgColor rgb="00DFF5F7"/>
      </patternFill>
    </fill>
    <fill>
      <patternFill patternType="solid">
        <fgColor rgb="00FFF4D8"/>
      </patternFill>
    </fill>
  </fills>
  <borders count="2">
    <border>
      <left/>
      <right/>
      <top/>
      <bottom/>
      <diagonal/>
    </border>
    <border>
      <bottom style="thin">
        <color rgb="00D7E3EB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  <xf numFmtId="164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ri.amap.com/search?keyword=%E6%B5%B7%E5%8F%A3%E7%BE%8E%E5%85%B0%E5%9B%BD%E9%99%85%E6%9C%BA%E5%9C%BA&amp;city=%E6%B5%B7%E5%8F%A3&amp;callnative=1" TargetMode="External" Id="rId1"/><Relationship Type="http://schemas.openxmlformats.org/officeDocument/2006/relationships/hyperlink" Target="https://uri.amap.com/search?keyword=%E4%B8%87%E5%AE%81%E7%9F%B3%E6%A2%85%E6%B9%BE&amp;city=%E4%B8%87%E5%AE%81&amp;callnative=1" TargetMode="External" Id="rId2"/><Relationship Type="http://schemas.openxmlformats.org/officeDocument/2006/relationships/hyperlink" Target="https://uri.amap.com/search?keyword=%E5%85%B4%E9%9A%86%E7%83%AD%E5%B8%A6%E6%A4%8D%E7%89%A9%E5%9B%AD&amp;city=%E4%B8%87%E5%AE%81&amp;callnative=1" TargetMode="External" Id="rId3"/><Relationship Type="http://schemas.openxmlformats.org/officeDocument/2006/relationships/hyperlink" Target="https://uri.amap.com/search?keyword=%E5%8D%97%E6%B9%BE%E7%8C%B4%E5%B2%9B%E7%94%9F%E6%80%81%E6%97%85%E6%B8%B8%E5%8C%BA&amp;city=%E9%99%B5%E6%B0%B4&amp;callnative=1" TargetMode="External" Id="rId4"/><Relationship Type="http://schemas.openxmlformats.org/officeDocument/2006/relationships/hyperlink" Target="https://uri.amap.com/search?keyword=%E4%B8%89%E4%BA%9A%E4%BA%9A%E9%BE%99%E6%B9%BE%E5%9B%BD%E5%AE%B6%E6%97%85%E6%B8%B8%E5%BA%A6%E5%81%87%E5%8C%BA&amp;city=%E4%B8%89%E4%BA%9A&amp;callnative=1" TargetMode="External" Id="rId5"/><Relationship Type="http://schemas.openxmlformats.org/officeDocument/2006/relationships/hyperlink" Target="https://uri.amap.com/search?keyword=%E4%B8%89%E4%BA%9A%E4%BA%9A%E7%89%B9%E5%85%B0%E8%92%82%E6%96%AF%E5%A4%B1%E8%90%BD%E7%9A%84%E7%A9%BA%E9%97%B4%E6%B0%B4%E6%97%8F%E9%A6%86&amp;city=%E4%B8%89%E4%BA%9A&amp;callnative=1" TargetMode="External" Id="rId6"/><Relationship Type="http://schemas.openxmlformats.org/officeDocument/2006/relationships/hyperlink" Target="https://uri.amap.com/search?keyword=%E4%B8%89%E4%BA%9A%E9%B9%BF%E5%9B%9E%E5%A4%B4%E9%A3%8E%E6%99%AF%E5%8C%BA&amp;city=%E4%B8%89%E4%BA%9A&amp;callnative=1" TargetMode="External" Id="rId7"/><Relationship Type="http://schemas.openxmlformats.org/officeDocument/2006/relationships/hyperlink" Target="https://uri.amap.com/search?keyword=%E4%B8%89%E4%BA%9A%E5%87%A4%E5%87%B0%E5%9B%BD%E9%99%85%E6%9C%BA%E5%9C%BA&amp;city=%E4%B8%89%E4%BA%9A&amp;callnative=1" TargetMode="External" Id="rId8"/></Relationships>
</file>

<file path=xl/worksheets/_rels/sheet6.xml.rels><Relationships xmlns="http://schemas.openxmlformats.org/package/2006/relationships"><Relationship Type="http://schemas.openxmlformats.org/officeDocument/2006/relationships/hyperlink" Target="https://uri.amap.com/search?keyword=%E6%B5%B7%E5%8F%A3%E7%BE%8E%E5%85%B0%E5%9B%BD%E9%99%85%E6%9C%BA%E5%9C%BA&amp;city=%E6%B5%B7%E5%8F%A3&amp;callnative=1" TargetMode="External" Id="rId1"/><Relationship Type="http://schemas.openxmlformats.org/officeDocument/2006/relationships/hyperlink" Target="https://uri.amap.com/search?keyword=%E6%B5%B7%E5%8F%A3%E9%AA%91%E6%A5%BC%E8%80%81%E8%A1%97&amp;city=%E6%B5%B7%E5%8F%A3&amp;callnative=1" TargetMode="External" Id="rId2"/><Relationship Type="http://schemas.openxmlformats.org/officeDocument/2006/relationships/hyperlink" Target="https://uri.amap.com/search?keyword=%E4%B8%87%E5%AE%81%E7%9F%B3%E6%A2%85%E6%B9%BE&amp;city=%E4%B8%87%E5%AE%81&amp;callnative=1" TargetMode="External" Id="rId3"/><Relationship Type="http://schemas.openxmlformats.org/officeDocument/2006/relationships/hyperlink" Target="https://uri.amap.com/search?keyword=%E4%B8%87%E5%AE%81%E5%85%B4%E9%9A%86%E9%95%87&amp;city=%E4%B8%87%E5%AE%81&amp;callnative=1" TargetMode="External" Id="rId4"/><Relationship Type="http://schemas.openxmlformats.org/officeDocument/2006/relationships/hyperlink" Target="https://uri.amap.com/search?keyword=%E5%85%B4%E9%9A%86%E7%83%AD%E5%B8%A6%E6%A4%8D%E7%89%A9%E5%9B%AD&amp;city=%E4%B8%87%E5%AE%81&amp;callnative=1" TargetMode="External" Id="rId5"/><Relationship Type="http://schemas.openxmlformats.org/officeDocument/2006/relationships/hyperlink" Target="https://uri.amap.com/search?keyword=%E9%99%B5%E6%B0%B4%E6%B8%85%E6%B0%B4%E6%B9%BE&amp;city=%E9%99%B5%E6%B0%B4&amp;callnative=1" TargetMode="External" Id="rId6"/><Relationship Type="http://schemas.openxmlformats.org/officeDocument/2006/relationships/hyperlink" Target="https://uri.amap.com/search?keyword=%E5%8D%97%E6%B9%BE%E7%8C%B4%E5%B2%9B%E7%94%9F%E6%80%81%E6%97%85%E6%B8%B8%E5%8C%BA&amp;city=%E9%99%B5%E6%B0%B4&amp;callnative=1" TargetMode="External" Id="rId7"/><Relationship Type="http://schemas.openxmlformats.org/officeDocument/2006/relationships/hyperlink" Target="https://uri.amap.com/search?keyword=%E6%B5%B7%E5%8D%97%E6%B5%B7%E6%B4%8B%E6%AC%A2%E4%B9%90%E4%B8%96%E7%95%8C%E5%BA%A6%E5%81%87%E5%8C%BA&amp;city=%E9%99%B5%E6%B0%B4&amp;callnative=1" TargetMode="External" Id="rId8"/><Relationship Type="http://schemas.openxmlformats.org/officeDocument/2006/relationships/hyperlink" Target="https://uri.amap.com/search?keyword=%E9%99%B5%E6%B0%B4%E6%B8%85%E6%B0%B4%E6%B9%BE&amp;city=%E9%99%B5%E6%B0%B4&amp;callnative=1" TargetMode="External" Id="rId9"/><Relationship Type="http://schemas.openxmlformats.org/officeDocument/2006/relationships/hyperlink" Target="https://uri.amap.com/search?keyword=%E4%B8%89%E4%BA%9A%E4%BA%9A%E9%BE%99%E6%B9%BE%E5%9B%BD%E5%AE%B6%E6%97%85%E6%B8%B8%E5%BA%A6%E5%81%87%E5%8C%BA&amp;city=%E4%B8%89%E4%BA%9A&amp;callnative=1" TargetMode="External" Id="rId10"/><Relationship Type="http://schemas.openxmlformats.org/officeDocument/2006/relationships/hyperlink" Target="https://uri.amap.com/search?keyword=%E4%B8%89%E4%BA%9A%E6%B5%B7%E6%A3%A0%E6%B9%BE&amp;city=%E4%B8%89%E4%BA%9A&amp;callnative=1" TargetMode="External" Id="rId11"/><Relationship Type="http://schemas.openxmlformats.org/officeDocument/2006/relationships/hyperlink" Target="https://uri.amap.com/search?keyword=%E4%B8%89%E4%BA%9A%E4%BA%9A%E7%89%B9%E5%85%B0%E8%92%82%E6%96%AF%E5%A4%B1%E8%90%BD%E7%9A%84%E7%A9%BA%E9%97%B4%E6%B0%B4%E6%97%8F%E9%A6%86&amp;city=%E4%B8%89%E4%BA%9A&amp;callnative=1" TargetMode="External" Id="rId12"/><Relationship Type="http://schemas.openxmlformats.org/officeDocument/2006/relationships/hyperlink" Target="https://uri.amap.com/search?keyword=%E4%B8%89%E4%BA%9A%E4%BA%9A%E9%BE%99%E6%B9%BE%E4%B8%AD%E5%BF%83%E5%B9%BF%E5%9C%BA&amp;city=%E4%B8%89%E4%BA%9A&amp;callnative=1" TargetMode="External" Id="rId13"/><Relationship Type="http://schemas.openxmlformats.org/officeDocument/2006/relationships/hyperlink" Target="https://uri.amap.com/search?keyword=%E4%B8%89%E4%BA%9A%E9%B9%BF%E5%9B%9E%E5%A4%B4%E9%A3%8E%E6%99%AF%E5%8C%BA&amp;city=%E4%B8%89%E4%BA%9A&amp;callnative=1" TargetMode="External" Id="rId14"/><Relationship Type="http://schemas.openxmlformats.org/officeDocument/2006/relationships/hyperlink" Target="https://uri.amap.com/search?keyword=%E4%B8%89%E4%BA%9A%E6%B9%BE%E6%A4%B0%E6%A2%A6%E9%95%BF%E5%BB%8A&amp;city=%E4%B8%89%E4%BA%9A&amp;callnative=1" TargetMode="External" Id="rId15"/><Relationship Type="http://schemas.openxmlformats.org/officeDocument/2006/relationships/hyperlink" Target="https://uri.amap.com/search?keyword=%E4%B8%89%E4%BA%9A%E7%AC%AC%E4%B8%80%E5%B8%82%E5%9C%BA&amp;city=%E4%B8%89%E4%BA%9A&amp;callnative=1" TargetMode="External" Id="rId16"/><Relationship Type="http://schemas.openxmlformats.org/officeDocument/2006/relationships/hyperlink" Target="https://uri.amap.com/search?keyword=%E4%B8%89%E4%BA%9A%E5%87%A4%E5%87%B0%E5%9B%BD%E9%99%85%E6%9C%BA%E5%9C%BA&amp;city=%E4%B8%89%E4%BA%9A&amp;callnative=1" TargetMode="External" Id="rId17"/><Relationship Type="http://schemas.openxmlformats.org/officeDocument/2006/relationships/hyperlink" Target="http://www.ce.cn/xwzx/gnsz/gdxw/202607/t20260715_3088395.shtml" TargetMode="External" Id="rId18"/><Relationship Type="http://schemas.openxmlformats.org/officeDocument/2006/relationships/hyperlink" Target="http://www.qxkp.net/tjzx/202508/t20250807_7261073.html" TargetMode="External" Id="rId19"/><Relationship Type="http://schemas.openxmlformats.org/officeDocument/2006/relationships/hyperlink" Target="http://www.qiloulaojie.com/" TargetMode="External" Id="rId20"/><Relationship Type="http://schemas.openxmlformats.org/officeDocument/2006/relationships/hyperlink" Target="http://www.xlrdzwy.com/" TargetMode="External" Id="rId21"/><Relationship Type="http://schemas.openxmlformats.org/officeDocument/2006/relationships/hyperlink" Target="http://www.monkeyisland.com.cn/cn/home" TargetMode="External" Id="rId22"/><Relationship Type="http://schemas.openxmlformats.org/officeDocument/2006/relationships/hyperlink" Target="https://www.opresort.cn/web/flhy/index.html" TargetMode="External" Id="rId23"/><Relationship Type="http://schemas.openxmlformats.org/officeDocument/2006/relationships/hyperlink" Target="https://www.atlantissanya.cn/" TargetMode="External" Id="rId24"/><Relationship Type="http://schemas.openxmlformats.org/officeDocument/2006/relationships/hyperlink" Target="https://mp.weixin.qq.com/s/zvRLSowwASpPIRJWAIzVcQ" TargetMode="External" Id="rId25"/><Relationship Type="http://schemas.openxmlformats.org/officeDocument/2006/relationships/hyperlink" Target="https://uri.amap.com/search?keyword=%E6%B5%B7%E5%8D%97%E7%9C%81%E4%BA%BA%E6%B0%91%E5%8C%BB%E9%99%A2&amp;city=%E6%B5%B7%E5%8F%A3&amp;callnative=1" TargetMode="External" Id="rId26"/><Relationship Type="http://schemas.openxmlformats.org/officeDocument/2006/relationships/hyperlink" Target="https://uri.amap.com/search?keyword=%E4%B8%87%E5%AE%81%E5%B8%82%E4%BA%BA%E6%B0%91%E5%8C%BB%E9%99%A2&amp;city=%E4%B8%87%E5%AE%81&amp;callnative=1" TargetMode="External" Id="rId27"/><Relationship Type="http://schemas.openxmlformats.org/officeDocument/2006/relationships/hyperlink" Target="https://uri.amap.com/search?keyword=%E9%99%B5%E6%B0%B4%E9%BB%8E%E6%97%8F%E8%87%AA%E6%B2%BB%E5%8E%BF%E4%BA%BA%E6%B0%91%E5%8C%BB%E9%99%A2&amp;city=%E9%99%B5%E6%B0%B4&amp;callnative=1" TargetMode="External" Id="rId28"/><Relationship Type="http://schemas.openxmlformats.org/officeDocument/2006/relationships/hyperlink" Target="https://uri.amap.com/search?keyword=%E4%B8%89%E4%BA%9A%E4%B8%AD%E5%BF%83%E5%8C%BB%E9%99%A2&amp;city=%E4%B8%89%E4%BA%9A&amp;callnative=1" TargetMode="External" Id="rId29"/></Relationships>
</file>

<file path=xl/worksheets/_rels/sheet7.xml.rels><Relationships xmlns="http://schemas.openxmlformats.org/package/2006/relationships"><Relationship Type="http://schemas.openxmlformats.org/officeDocument/2006/relationships/hyperlink" Target="https://uri.amap.com/search?keyword=%E6%B5%B7%E5%8D%97%E7%9C%81%E4%BA%BA%E6%B0%91%E5%8C%BB%E9%99%A2&amp;city=%E6%B5%B7%E5%8F%A3&amp;callnative=1" TargetMode="External" Id="rId1"/><Relationship Type="http://schemas.openxmlformats.org/officeDocument/2006/relationships/hyperlink" Target="https://uri.amap.com/search?keyword=%E4%B8%87%E5%AE%81%E5%B8%82%E4%BA%BA%E6%B0%91%E5%8C%BB%E9%99%A2&amp;city=%E4%B8%87%E5%AE%81&amp;callnative=1" TargetMode="External" Id="rId2"/><Relationship Type="http://schemas.openxmlformats.org/officeDocument/2006/relationships/hyperlink" Target="https://uri.amap.com/search?keyword=%E9%99%B5%E6%B0%B4%E9%BB%8E%E6%97%8F%E8%87%AA%E6%B2%BB%E5%8E%BF%E4%BA%BA%E6%B0%91%E5%8C%BB%E9%99%A2&amp;city=%E9%99%B5%E6%B0%B4&amp;callnative=1" TargetMode="External" Id="rId3"/><Relationship Type="http://schemas.openxmlformats.org/officeDocument/2006/relationships/hyperlink" Target="https://uri.amap.com/search?keyword=%E4%B8%89%E4%BA%9A%E4%B8%AD%E5%BF%83%E5%8C%BB%E9%99%A2&amp;city=%E4%B8%89%E4%BA%9A&amp;callnative=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30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旅行窗口</t>
        </is>
      </c>
      <c r="B2" s="3" t="inlineStr">
        <is>
          <t>建议在 2026年8月1日至10日之间选择连续8天</t>
        </is>
      </c>
    </row>
    <row r="3">
      <c r="A3" s="2" t="inlineStr">
        <is>
          <t>人数</t>
        </is>
      </c>
      <c r="B3" s="3" t="inlineStr">
        <is>
          <t>3位成人 + 2名5–6岁儿童</t>
        </is>
      </c>
    </row>
    <row r="4">
      <c r="A4" s="2" t="inlineStr">
        <is>
          <t>路线</t>
        </is>
      </c>
      <c r="B4" s="3" t="inlineStr">
        <is>
          <t>海口1晚 → 万宁1晚 → 陵水2晚 → 三亚3晚</t>
        </is>
      </c>
    </row>
    <row r="5">
      <c r="A5" s="2" t="inlineStr">
        <is>
          <t>车型</t>
        </is>
      </c>
      <c r="B5" s="3" t="inlineStr">
        <is>
          <t>空间较大的五座SUV；两套儿童约束装置必须现场试装</t>
        </is>
      </c>
    </row>
    <row r="6">
      <c r="A6" s="2" t="inlineStr">
        <is>
          <t>目标总预算</t>
        </is>
      </c>
      <c r="B6" s="3" t="inlineStr">
        <is>
          <t>¥25,000，包含五人往返机票</t>
        </is>
      </c>
    </row>
    <row r="7">
      <c r="A7" s="2" t="inlineStr">
        <is>
          <t>预计里程</t>
        </is>
      </c>
      <c r="B7" s="3" t="inlineStr">
        <is>
          <t>约450–600公里</t>
        </is>
      </c>
    </row>
    <row r="8">
      <c r="A8" s="2" t="inlineStr">
        <is>
          <t>行程原则</t>
        </is>
      </c>
      <c r="B8" s="3" t="inlineStr">
        <is>
          <t>每天一个主活动；午间休息；恶劣天气取消涉海活动</t>
        </is>
      </c>
    </row>
    <row r="9">
      <c r="A9" s="2" t="inlineStr">
        <is>
          <t>HTML攻略</t>
        </is>
      </c>
      <c r="B9" s="3" t="inlineStr">
        <is>
          <t>hainan_family_self_drive_8d7n.html</t>
        </is>
      </c>
    </row>
    <row r="10">
      <c r="A10" s="2" t="inlineStr">
        <is>
          <t>PDF攻略</t>
        </is>
      </c>
      <c r="B10" s="3" t="inlineStr">
        <is>
          <t>hainan_family_self_drive_8d7n.pdf</t>
        </is>
      </c>
    </row>
    <row r="11">
      <c r="A11" s="2" t="inlineStr">
        <is>
          <t>动态信息整理日期</t>
        </is>
      </c>
      <c r="B11" s="3" t="inlineStr">
        <is>
          <t>2026-07-21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30" customWidth="1" min="4" max="4"/>
    <col width="28" customWidth="1" min="5" max="5"/>
    <col width="42" customWidth="1" min="6" max="6"/>
    <col width="35" customWidth="1" min="7" max="7"/>
    <col width="42" customWidth="1" min="8" max="8"/>
    <col width="42" customWidth="1" min="9" max="9"/>
    <col width="42" customWidth="1" min="10" max="10"/>
    <col width="48" customWidth="1" min="11" max="11"/>
    <col width="44" customWidth="1" min="12" max="12"/>
    <col width="20" customWidth="1" min="13" max="13"/>
  </cols>
  <sheetData>
    <row r="1" ht="30" customHeight="1">
      <c r="A1" s="1" t="inlineStr">
        <is>
          <t>天数</t>
        </is>
      </c>
      <c r="B1" s="1" t="inlineStr">
        <is>
          <t>路线</t>
        </is>
      </c>
      <c r="C1" s="1" t="inlineStr">
        <is>
          <t>住宿</t>
        </is>
      </c>
      <c r="D1" s="1" t="inlineStr">
        <is>
          <t>驾驶</t>
        </is>
      </c>
      <c r="E1" s="1" t="inlineStr">
        <is>
          <t>核心安排</t>
        </is>
      </c>
      <c r="F1" s="1" t="inlineStr">
        <is>
          <t>上午</t>
        </is>
      </c>
      <c r="G1" s="1" t="inlineStr">
        <is>
          <t>午餐/午休</t>
        </is>
      </c>
      <c r="H1" s="1" t="inlineStr">
        <is>
          <t>下午</t>
        </is>
      </c>
      <c r="I1" s="1" t="inlineStr">
        <is>
          <t>傍晚/晚餐</t>
        </is>
      </c>
      <c r="J1" s="1" t="inlineStr">
        <is>
          <t>儿童提醒</t>
        </is>
      </c>
      <c r="K1" s="1" t="inlineStr">
        <is>
          <t>雨天备选</t>
        </is>
      </c>
      <c r="L1" s="1" t="inlineStr">
        <is>
          <t>预订复核</t>
        </is>
      </c>
      <c r="M1" s="1" t="inlineStr">
        <is>
          <t>首要导航</t>
        </is>
      </c>
    </row>
    <row r="2" ht="110" customHeight="1">
      <c r="A2" s="4" t="inlineStr">
        <is>
          <t>D1</t>
        </is>
      </c>
      <c r="B2" s="3" t="inlineStr">
        <is>
          <t>抵达海口</t>
        </is>
      </c>
      <c r="C2" s="3" t="inlineStr">
        <is>
          <t>海口骑楼老街 / 国贸一带</t>
        </is>
      </c>
      <c r="D2" s="3" t="inlineStr">
        <is>
          <t>约20–35公里；机场至市区约40–60分钟，以实时导航为准</t>
        </is>
      </c>
      <c r="E2" s="3" t="inlineStr">
        <is>
          <t>取车、入住、骑楼老街和海南第一餐</t>
        </is>
      </c>
      <c r="F2" s="3" t="inlineStr">
        <is>
          <t>• 按实际航班抵达海口美兰机场，不为首日安排固定景点。
• 取空间较大的五座SUV，根据儿童身高体重确认两套安全座椅/增高垫。
• 现场试装后确认后排中间成人可以正常坐下并独立系安全带，行李也不遮挡视线；否则升级七座。</t>
        </is>
      </c>
      <c r="G2" s="3" t="inlineStr">
        <is>
          <t>若中午前抵达，可在机场或市区吃简餐；避免取车后空腹长时间驾驶。</t>
        </is>
      </c>
      <c r="H2" s="3" t="inlineStr">
        <is>
          <t>• 取车时录制车身、轮胎、玻璃、油量和仪表盘视频。
• 入住带停车场的酒店，成人分工整理行李、儿童休息。</t>
        </is>
      </c>
      <c r="I2" s="3" t="inlineStr">
        <is>
          <t>• 体力允许时逛骑楼老街1–2小时；开放式街区可灵活调整。
• 晚餐优先尝试辣汤饭、海南粉、清补凉或老爸茶小吃。</t>
        </is>
      </c>
      <c r="J2" s="3" t="inlineStr">
        <is>
          <t>首日不安排长距离步行；给孩子留出适应气候和早睡时间。</t>
        </is>
      </c>
      <c r="K2" s="3" t="inlineStr">
        <is>
          <t>直接入住酒店，在附近商场或酒店餐厅解决晚餐；骑楼老街挪到D2早餐后。</t>
        </is>
      </c>
      <c r="L2" s="3" t="inlineStr">
        <is>
          <t>确认机场取车网点、夜间服务费、酒店停车和早餐儿童政策。</t>
        </is>
      </c>
      <c r="M2" s="5" t="inlineStr">
        <is>
          <t>海口美兰国际机场</t>
        </is>
      </c>
    </row>
    <row r="3" ht="110" customHeight="1">
      <c r="A3" s="4" t="inlineStr">
        <is>
          <t>D2</t>
        </is>
      </c>
      <c r="B3" s="3" t="inlineStr">
        <is>
          <t>海口 → 万宁</t>
        </is>
      </c>
      <c r="C3" s="3" t="inlineStr">
        <is>
          <t>万宁石梅湾 / 兴隆一带</t>
        </is>
      </c>
      <c r="D3" s="3" t="inlineStr">
        <is>
          <t>约150–170公里；纯驾驶约2–2.5小时，带娃按3小时预留</t>
        </is>
      </c>
      <c r="E3" s="3" t="inlineStr">
        <is>
          <t>东线转场、酒店午休、石梅湾日落</t>
        </is>
      </c>
      <c r="F3" s="3" t="inlineStr">
        <is>
          <t>• 早餐后补逛骑楼老街或体验一顿老爸茶，控制在10:00前结束。
• 离开海口前检查油量、饮水、防晒、儿童零食和晕车用品。</t>
        </is>
      </c>
      <c r="G3" s="3" t="inlineStr">
        <is>
          <t>抵达兴隆或石梅湾后用午餐，推荐后安粉、海南菜或清淡简餐。</t>
        </is>
      </c>
      <c r="H3" s="3" t="inlineStr">
        <is>
          <t>• 入住后先午休和玩酒店泳池，不增加途中打卡点。
• 17:00后前往石梅湾正规开放沙滩散步、玩沙。</t>
        </is>
      </c>
      <c r="I3" s="3" t="inlineStr">
        <is>
          <t>• 看天气决定是否等日落；雷雨前立即离开海滩。
• 晚餐可选东山羊、和乐蟹、兴隆南洋菜；海鲜先问价再点单。</t>
        </is>
      </c>
      <c r="J3" s="3" t="inlineStr">
        <is>
          <t>海边只在救生员或酒店明确开放区域活动；不让孩子单独接近浪线。</t>
        </is>
      </c>
      <c r="K3" s="3" t="inlineStr">
        <is>
          <t>取消沙滩，使用酒店儿童乐园、泳池或兴隆镇室内餐饮；保留体力给D3植物园。</t>
        </is>
      </c>
      <c r="L3" s="3" t="inlineStr">
        <is>
          <t>优先选择有儿童泳池、室内儿童区和停车场的酒店。</t>
        </is>
      </c>
      <c r="M3" s="5" t="inlineStr">
        <is>
          <t>石梅湾</t>
        </is>
      </c>
    </row>
    <row r="4" ht="110" customHeight="1">
      <c r="A4" s="4" t="inlineStr">
        <is>
          <t>D3</t>
        </is>
      </c>
      <c r="B4" s="3" t="inlineStr">
        <is>
          <t>万宁 → 陵水</t>
        </is>
      </c>
      <c r="C4" s="3" t="inlineStr">
        <is>
          <t>陵水清水湾</t>
        </is>
      </c>
      <c r="D4" s="3" t="inlineStr">
        <is>
          <t>万宁至陵水约55–75公里；纯驾驶约1–1.5小时</t>
        </is>
      </c>
      <c r="E4" s="3" t="inlineStr">
        <is>
          <t>兴隆热带植物园、兴隆咖啡、清水湾入住</t>
        </is>
      </c>
      <c r="F4" s="3" t="inlineStr">
        <is>
          <t>• 08:30左右进入兴隆热带植物园，安排约2小时，避开正午高温。
• 园内以热带植物和科普为主；孩子不触摸未知果实和植物汁液。</t>
        </is>
      </c>
      <c r="G4" s="3" t="inlineStr">
        <is>
          <t>在兴隆体验咖啡、可可或南洋风味；儿童饮品选择不含咖啡因版本。</t>
        </is>
      </c>
      <c r="H4" s="3" t="inlineStr">
        <is>
          <t>• 午餐后前往陵水，途中让孩子在车上休息。
• 15:00后入住清水湾，两晚住同一酒店，不再拆分。</t>
        </is>
      </c>
      <c r="I4" s="3" t="inlineStr">
        <is>
          <t>• 天气稳定时在酒店开放海滩短时间玩沙。
• 晚餐尝试陵水酸粉、椰子鸡或酒店附近海南菜。</t>
        </is>
      </c>
      <c r="J4" s="3" t="inlineStr">
        <is>
          <t>植物园准备驱蚊、防晒和替换衣物；咖啡体验不让儿童误饮含咖啡因饮料。</t>
        </is>
      </c>
      <c r="K4" s="3" t="inlineStr">
        <is>
          <t>小雨可带雨衣游植物园；雷电或暴雨直接取消，提前去陵水入住并使用酒店设施。</t>
        </is>
      </c>
      <c r="L4" s="3" t="inlineStr">
        <is>
          <t>植物园官方常规时间为08:30–17:00，出发前一天再次核对。</t>
        </is>
      </c>
      <c r="M4" s="5" t="inlineStr">
        <is>
          <t>兴隆热带植物园</t>
        </is>
      </c>
    </row>
    <row r="5" ht="110" customHeight="1">
      <c r="A5" s="4" t="inlineStr">
        <is>
          <t>D4</t>
        </is>
      </c>
      <c r="B5" s="3" t="inlineStr">
        <is>
          <t>陵水完整日</t>
        </is>
      </c>
      <c r="C5" s="3" t="inlineStr">
        <is>
          <t>陵水清水湾</t>
        </is>
      </c>
      <c r="D5" s="3" t="inlineStr">
        <is>
          <t>根据方案约30–70公里；总驾驶约1–1.5小时</t>
        </is>
      </c>
      <c r="E5" s="3" t="inlineStr">
        <is>
          <t>天气决策日：南湾猴岛 / 海洋欢乐世界 / 酒店避险</t>
        </is>
      </c>
      <c r="F5" s="3" t="inlineStr">
        <is>
          <t>• 晴朗、风浪小：08:00后前往南湾猴岛，体验跨海索道和猕猴生态。
• 猴区不携带外露食物和塑料袋，不逗弄、不触摸、不追逐猕猴。</t>
        </is>
      </c>
      <c r="G5" s="3" t="inlineStr">
        <is>
          <t>新村镇或正规餐厅用餐；疍家海鲜先确认计价单位、加工费和总价。</t>
        </is>
      </c>
      <c r="H5" s="3" t="inlineStr">
        <is>
          <t>• 午后回酒店午休，17:00后视天气短时玩沙。
• 若更偏向乐园，可把全天替换为海南海洋欢乐世界，提前核对暑期运营时间。</t>
        </is>
      </c>
      <c r="I5" s="3" t="inlineStr">
        <is>
          <t>• 品尝陵水酸粉、气鼓鱼粥、糟粕醋或清补凉。
• 整理第二天去三亚的行李，避免早晨仓促。</t>
        </is>
      </c>
      <c r="J5" s="3" t="inlineStr">
        <is>
          <t>猴区由一位成人专门看一个孩子；不让孩子拿饮料、食物或鲜艳袋子靠近猴群。</t>
        </is>
      </c>
      <c r="K5" s="3" t="inlineStr">
        <is>
          <t>小雨可选择海洋欢乐世界的场馆；雷电、暴雨或台风预警时取消所有涉海/户外活动，留在酒店。</t>
        </is>
      </c>
      <c r="L5" s="3" t="inlineStr">
        <is>
          <t>猴岛官方常规时间约08:00–17:20；儿童优惠与身高/年龄相关，携带证件并当日核实。</t>
        </is>
      </c>
      <c r="M5" s="5" t="inlineStr">
        <is>
          <t>南湾猴岛</t>
        </is>
      </c>
    </row>
    <row r="6" ht="110" customHeight="1">
      <c r="A6" s="4" t="inlineStr">
        <is>
          <t>D5</t>
        </is>
      </c>
      <c r="B6" s="3" t="inlineStr">
        <is>
          <t>陵水 → 三亚</t>
        </is>
      </c>
      <c r="C6" s="3" t="inlineStr">
        <is>
          <t>三亚亚龙湾</t>
        </is>
      </c>
      <c r="D6" s="3" t="inlineStr">
        <is>
          <t>约55–80公里；纯驾驶约1–1.5小时</t>
        </is>
      </c>
      <c r="E6" s="3" t="inlineStr">
        <is>
          <t>慢退房、转场、三亚度假酒店</t>
        </is>
      </c>
      <c r="F6" s="3" t="inlineStr">
        <is>
          <t>• 睡到自然醒，早餐后只安排酒店泳池或短时沙滩。
• 11:00左右退房，确认房间、儿童用品和充电设备无遗漏。</t>
        </is>
      </c>
      <c r="G6" s="3" t="inlineStr">
        <is>
          <t>可在清水湾或海棠湾途中用餐，避开边吃边赶路。</t>
        </is>
      </c>
      <c r="H6" s="3" t="inlineStr">
        <is>
          <t>• 前往亚龙湾，入住连续三晚的亲子度假酒店。
• 午休后熟悉儿童俱乐部、泳池、医务室、沙滩旗和紧急出口。</t>
        </is>
      </c>
      <c r="I6" s="3" t="inlineStr">
        <is>
          <t>• 只安排酒店晚餐、泳池或沙滩散步。
• 不在转场日增加蜈支洲岛、森林公园等大景点。</t>
        </is>
      </c>
      <c r="J6" s="3" t="inlineStr">
        <is>
          <t>优先确认床围、拼床、儿童早餐、救生衣和儿童活动预约。</t>
        </is>
      </c>
      <c r="K6" s="3" t="inlineStr">
        <is>
          <t>直接入住酒店；使用室内儿童区、商场或酒店活动。</t>
        </is>
      </c>
      <c r="L6" s="3" t="inlineStr">
        <is>
          <t>三亚三晚不换酒店；若重视海滩，优先亚龙湾；若更重视大型亲子设施，可比较海棠湾。</t>
        </is>
      </c>
      <c r="M6" s="5" t="inlineStr">
        <is>
          <t>亚龙湾</t>
        </is>
      </c>
    </row>
    <row r="7" ht="110" customHeight="1">
      <c r="A7" s="4" t="inlineStr">
        <is>
          <t>D6</t>
        </is>
      </c>
      <c r="B7" s="3" t="inlineStr">
        <is>
          <t>三亚亲子室内主活动</t>
        </is>
      </c>
      <c r="C7" s="3" t="inlineStr">
        <is>
          <t>三亚亚龙湾</t>
        </is>
      </c>
      <c r="D7" s="3" t="inlineStr">
        <is>
          <t>亚龙湾往返海棠湾约60–90公里；约1.5–2小时</t>
        </is>
      </c>
      <c r="E7" s="3" t="inlineStr">
        <is>
          <t>亚特兰蒂斯水族馆 + 午休 + 酒店</t>
        </is>
      </c>
      <c r="F7" s="3" t="inlineStr">
        <is>
          <t>• 早餐后前往失落的空间水族馆，建议10:00左右入场。
• 控制在2–3小时，不同时购买水世界和多个演出套餐。</t>
        </is>
      </c>
      <c r="G7" s="3" t="inlineStr">
        <is>
          <t>在海棠湾商场或度假区用简餐，避开正午继续户外。</t>
        </is>
      </c>
      <c r="H7" s="3" t="inlineStr">
        <is>
          <t>• 回酒店午休，孩子睡醒后使用酒店泳池或儿童俱乐部。
• 如不想跨湾驾驶，可将本日改为完整酒店日。</t>
        </is>
      </c>
      <c r="I7" s="3" t="inlineStr">
        <is>
          <t>• 在亚龙湾周边吃椰子鸡、海南菜或酒店晚餐。
• 提前查看D7天气，决定是否安排城市日落活动。</t>
        </is>
      </c>
      <c r="J7" s="3" t="inlineStr">
        <is>
          <t>大型场馆提前约定走失集合点，给孩子佩戴写有家长电话的联系卡。</t>
        </is>
      </c>
      <c r="K7" s="3" t="inlineStr">
        <is>
          <t>水族馆适合普通降雨；若台风导致道路或场馆关闭，则完全留在酒店。</t>
        </is>
      </c>
      <c r="L7" s="3" t="inlineStr">
        <is>
          <t>营业时间和票价变化较多，只通过官方渠道或可靠平台确认；不引用低价非官方票。</t>
        </is>
      </c>
      <c r="M7" s="5" t="inlineStr">
        <is>
          <t>失落的空间水族馆</t>
        </is>
      </c>
    </row>
    <row r="8" ht="110" customHeight="1">
      <c r="A8" s="4" t="inlineStr">
        <is>
          <t>D7</t>
        </is>
      </c>
      <c r="B8" s="3" t="inlineStr">
        <is>
          <t>三亚度假与日落</t>
        </is>
      </c>
      <c r="C8" s="3" t="inlineStr">
        <is>
          <t>三亚亚龙湾</t>
        </is>
      </c>
      <c r="D8" s="3" t="inlineStr">
        <is>
          <t>根据晚间活动约40–70公里；约1–1.5小时</t>
        </is>
      </c>
      <c r="E8" s="3" t="inlineStr">
        <is>
          <t>完整度假日 + 鹿回头或三亚湾日落 + 美食</t>
        </is>
      </c>
      <c r="F8" s="3" t="inlineStr">
        <is>
          <t>• 酒店早餐、儿童俱乐部、泳池和玩沙，不安排远距离景区。
• 海况允许时只在有救生员、酒店明确开放的区域亲水。</t>
        </is>
      </c>
      <c r="G8" s="3" t="inlineStr">
        <is>
          <t>酒店附近解决，随后完整午休。</t>
        </is>
      </c>
      <c r="H8" s="3" t="inlineStr">
        <is>
          <t>• 16:30后再决定是否前往鹿回头或三亚湾看日落。
• 如果全家疲劳，直接取消城市活动，继续酒店度假。</t>
        </is>
      </c>
      <c r="I8" s="3" t="inlineStr">
        <is>
          <t>• 尝试海南海鲜、港门粉、椰子鸡或糟粕醋。
• 海鲜选择明码标价餐厅，结账前核对重量、单价和加工费。</t>
        </is>
      </c>
      <c r="J8" s="3" t="inlineStr">
        <is>
          <t>最后一个完整日不透支体力；回酒店后完成大部分行李打包。</t>
        </is>
      </c>
      <c r="K8" s="3" t="inlineStr">
        <is>
          <t>改为商场、酒店室内活动或提前整理行李；雷电时不在海滩等待日落。</t>
        </is>
      </c>
      <c r="L8" s="3" t="inlineStr">
        <is>
          <t>鹿回头等景区的开放和预约以当天官方信息为准。</t>
        </is>
      </c>
      <c r="M8" s="5" t="inlineStr">
        <is>
          <t>鹿回头风景区</t>
        </is>
      </c>
    </row>
    <row r="9" ht="110" customHeight="1">
      <c r="A9" s="4" t="inlineStr">
        <is>
          <t>D8</t>
        </is>
      </c>
      <c r="B9" s="3" t="inlineStr">
        <is>
          <t>三亚返程</t>
        </is>
      </c>
      <c r="C9" s="3" t="inlineStr">
        <is>
          <t>返程</t>
        </is>
      </c>
      <c r="D9" s="3" t="inlineStr">
        <is>
          <t>亚龙湾至凤凰机场约30–40公里；至少预留60分钟</t>
        </is>
      </c>
      <c r="E9" s="3" t="inlineStr">
        <is>
          <t>慢早餐、还车、航班缓冲</t>
        </is>
      </c>
      <c r="F9" s="3" t="inlineStr">
        <is>
          <t>• 早餐后检查证件、药品、充电器、儿童玩具和湿衣物。
• 若航班较晚，可继续使用酒店设施，但不新增不可取消景点。</t>
        </is>
      </c>
      <c r="G9" s="3" t="inlineStr">
        <is>
          <t>根据航班在酒店或机场附近用餐，避免返程前吃过量生冷海鲜。</t>
        </is>
      </c>
      <c r="H9" s="3" t="inlineStr">
        <is>
          <t>• 按航班起飞前至少3小时抵达还车网点。
• 还车前加油/充电，拍摄车辆、油量、里程和交车单。</t>
        </is>
      </c>
      <c r="I9" s="3" t="inlineStr">
        <is>
          <t>• 保留租车结算、停车、加油和行李托运凭证。
• 异地还车完成后确认押金与违章查询周期。</t>
        </is>
      </c>
      <c r="J9" s="3" t="inlineStr">
        <is>
          <t>为机场等待准备一套干衣、零食、饮水和安静玩具。</t>
        </is>
      </c>
      <c r="K9" s="3" t="inlineStr">
        <is>
          <t>台风或航班异常时不要急于退房和还车，先联系航司、酒店和租车公司确认变更政策。</t>
        </is>
      </c>
      <c r="L9" s="3" t="inlineStr">
        <is>
          <t>核对凤凰机场还车网点、摆渡时间、异地还车费和夜间服务费。</t>
        </is>
      </c>
      <c r="M9" s="5" t="inlineStr">
        <is>
          <t>三亚凤凰国际机场</t>
        </is>
      </c>
    </row>
  </sheetData>
  <autoFilter ref="A1:M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8" customWidth="1" min="12" max="12"/>
    <col width="20" customWidth="1" min="13" max="13"/>
    <col width="46" customWidth="1" min="14" max="14"/>
  </cols>
  <sheetData>
    <row r="1" ht="30" customHeight="1">
      <c r="A1" s="1" t="inlineStr">
        <is>
          <t>类别</t>
        </is>
      </c>
      <c r="B1" s="1" t="inlineStr">
        <is>
          <t>项目</t>
        </is>
      </c>
      <c r="C1" s="1" t="inlineStr">
        <is>
          <t>数量</t>
        </is>
      </c>
      <c r="D1" s="1" t="inlineStr">
        <is>
          <t>低位单价</t>
        </is>
      </c>
      <c r="E1" s="1" t="inlineStr">
        <is>
          <t>高位单价</t>
        </is>
      </c>
      <c r="F1" s="1" t="inlineStr">
        <is>
          <t>低位小计</t>
        </is>
      </c>
      <c r="G1" s="1" t="inlineStr">
        <is>
          <t>高位小计</t>
        </is>
      </c>
      <c r="H1" s="1" t="inlineStr">
        <is>
          <t>目标额度</t>
        </is>
      </c>
      <c r="I1" s="1" t="inlineStr">
        <is>
          <t>实际金额</t>
        </is>
      </c>
      <c r="J1" s="1" t="inlineStr">
        <is>
          <t>预算差额</t>
        </is>
      </c>
      <c r="K1" s="1" t="inlineStr">
        <is>
          <t>状态</t>
        </is>
      </c>
      <c r="L1" s="1" t="inlineStr">
        <is>
          <t>取消/确认期限</t>
        </is>
      </c>
      <c r="M1" s="1" t="inlineStr">
        <is>
          <t>订单号</t>
        </is>
      </c>
      <c r="N1" s="1" t="inlineStr">
        <is>
          <t>说明</t>
        </is>
      </c>
    </row>
    <row r="2">
      <c r="A2" s="3" t="inlineStr">
        <is>
          <t>机票</t>
        </is>
      </c>
      <c r="B2" s="3" t="inlineStr">
        <is>
          <t>五人往返海南机票</t>
        </is>
      </c>
      <c r="C2" s="3" t="n">
        <v>5</v>
      </c>
      <c r="D2" s="6" t="n">
        <v>1000</v>
      </c>
      <c r="E2" s="6" t="n">
        <v>1300</v>
      </c>
      <c r="F2" s="6">
        <f>C2*D2</f>
        <v/>
      </c>
      <c r="G2" s="6">
        <f>C2*E2</f>
        <v/>
      </c>
      <c r="H2" s="6" t="n">
        <v>6000</v>
      </c>
      <c r="I2" s="6" t="n"/>
      <c r="J2" s="6">
        <f>IF(I2="","",H2-I2)</f>
        <v/>
      </c>
      <c r="K2" s="3" t="inlineStr">
        <is>
          <t>未预订</t>
        </is>
      </c>
      <c r="L2" s="3" t="n"/>
      <c r="M2" s="3" t="n"/>
      <c r="N2" s="3" t="inlineStr">
        <is>
          <t>目标人均往返约1200元；超出部分从酒店或门票调剂</t>
        </is>
      </c>
    </row>
    <row r="3">
      <c r="A3" s="3" t="inlineStr">
        <is>
          <t>交通</t>
        </is>
      </c>
      <c r="B3" s="3" t="inlineStr">
        <is>
          <t>宽敞五座SUV租金</t>
        </is>
      </c>
      <c r="C3" s="3" t="n">
        <v>8</v>
      </c>
      <c r="D3" s="6" t="n">
        <v>250</v>
      </c>
      <c r="E3" s="6" t="n">
        <v>350</v>
      </c>
      <c r="F3" s="6">
        <f>C3*D3</f>
        <v/>
      </c>
      <c r="G3" s="6">
        <f>C3*E3</f>
        <v/>
      </c>
      <c r="H3" s="6" t="n">
        <v>2400</v>
      </c>
      <c r="I3" s="6" t="n"/>
      <c r="J3" s="6">
        <f>IF(I3="","",H3-I3)</f>
        <v/>
      </c>
      <c r="K3" s="3" t="inlineStr">
        <is>
          <t>未预订</t>
        </is>
      </c>
      <c r="L3" s="3" t="n"/>
      <c r="M3" s="3" t="n"/>
      <c r="N3" s="3" t="inlineStr">
        <is>
          <t>8天；优先后排较宽、后备箱较大的车型</t>
        </is>
      </c>
    </row>
    <row r="4">
      <c r="A4" s="3" t="inlineStr">
        <is>
          <t>交通</t>
        </is>
      </c>
      <c r="B4" s="3" t="inlineStr">
        <is>
          <t>基础保险/补充保障</t>
        </is>
      </c>
      <c r="C4" s="3" t="n">
        <v>8</v>
      </c>
      <c r="D4" s="6" t="n">
        <v>40</v>
      </c>
      <c r="E4" s="6" t="n">
        <v>60</v>
      </c>
      <c r="F4" s="6">
        <f>C4*D4</f>
        <v/>
      </c>
      <c r="G4" s="6">
        <f>C4*E4</f>
        <v/>
      </c>
      <c r="H4" s="6" t="n">
        <v>400</v>
      </c>
      <c r="I4" s="6" t="n"/>
      <c r="J4" s="6">
        <f>IF(I4="","",H4-I4)</f>
        <v/>
      </c>
      <c r="K4" s="3" t="inlineStr">
        <is>
          <t>未预订</t>
        </is>
      </c>
      <c r="L4" s="3" t="n"/>
      <c r="M4" s="3" t="n"/>
      <c r="N4" s="3" t="inlineStr">
        <is>
          <t>确认轮胎、玻璃、底盘和免赔额</t>
        </is>
      </c>
    </row>
    <row r="5">
      <c r="A5" s="3" t="inlineStr">
        <is>
          <t>交通</t>
        </is>
      </c>
      <c r="B5" s="3" t="inlineStr">
        <is>
          <t>海口取车三亚还车费</t>
        </is>
      </c>
      <c r="C5" s="3" t="n">
        <v>1</v>
      </c>
      <c r="D5" s="6" t="n">
        <v>200</v>
      </c>
      <c r="E5" s="6" t="n">
        <v>400</v>
      </c>
      <c r="F5" s="6">
        <f>C5*D5</f>
        <v/>
      </c>
      <c r="G5" s="6">
        <f>C5*E5</f>
        <v/>
      </c>
      <c r="H5" s="6" t="n">
        <v>300</v>
      </c>
      <c r="I5" s="6" t="n"/>
      <c r="J5" s="6">
        <f>IF(I5="","",H5-I5)</f>
        <v/>
      </c>
      <c r="K5" s="3" t="inlineStr">
        <is>
          <t>未预订</t>
        </is>
      </c>
      <c r="L5" s="3" t="n"/>
      <c r="M5" s="3" t="n"/>
      <c r="N5" s="3" t="inlineStr">
        <is>
          <t>以合同为准</t>
        </is>
      </c>
    </row>
    <row r="6">
      <c r="A6" s="3" t="inlineStr">
        <is>
          <t>交通</t>
        </is>
      </c>
      <c r="B6" s="3" t="inlineStr">
        <is>
          <t>儿童安全座椅/增高垫</t>
        </is>
      </c>
      <c r="C6" s="3" t="n">
        <v>16</v>
      </c>
      <c r="D6" s="6" t="n">
        <v>20</v>
      </c>
      <c r="E6" s="6" t="n">
        <v>40</v>
      </c>
      <c r="F6" s="6">
        <f>C6*D6</f>
        <v/>
      </c>
      <c r="G6" s="6">
        <f>C6*E6</f>
        <v/>
      </c>
      <c r="H6" s="6" t="n">
        <v>480</v>
      </c>
      <c r="I6" s="6" t="n"/>
      <c r="J6" s="6">
        <f>IF(I6="","",H6-I6)</f>
        <v/>
      </c>
      <c r="K6" s="3" t="inlineStr">
        <is>
          <t>未预订</t>
        </is>
      </c>
      <c r="L6" s="3" t="n"/>
      <c r="M6" s="3" t="n"/>
      <c r="N6" s="3" t="inlineStr">
        <is>
          <t>2套×8天；必须现场试装后排</t>
        </is>
      </c>
    </row>
    <row r="7">
      <c r="A7" s="3" t="inlineStr">
        <is>
          <t>交通</t>
        </is>
      </c>
      <c r="B7" s="3" t="inlineStr">
        <is>
          <t>燃油</t>
        </is>
      </c>
      <c r="C7" s="3" t="n">
        <v>1</v>
      </c>
      <c r="D7" s="6" t="n">
        <v>600</v>
      </c>
      <c r="E7" s="6" t="n">
        <v>800</v>
      </c>
      <c r="F7" s="6">
        <f>C7*D7</f>
        <v/>
      </c>
      <c r="G7" s="6">
        <f>C7*E7</f>
        <v/>
      </c>
      <c r="H7" s="6" t="n">
        <v>650</v>
      </c>
      <c r="I7" s="6" t="n"/>
      <c r="J7" s="6">
        <f>IF(I7="","",H7-I7)</f>
        <v/>
      </c>
      <c r="K7" s="3" t="inlineStr">
        <is>
          <t>未预订</t>
        </is>
      </c>
      <c r="L7" s="3" t="n"/>
      <c r="M7" s="3" t="n"/>
      <c r="N7" s="3" t="inlineStr">
        <is>
          <t>预计总里程约450–600公里</t>
        </is>
      </c>
    </row>
    <row r="8">
      <c r="A8" s="3" t="inlineStr">
        <is>
          <t>交通</t>
        </is>
      </c>
      <c r="B8" s="3" t="inlineStr">
        <is>
          <t>停车</t>
        </is>
      </c>
      <c r="C8" s="3" t="n">
        <v>1</v>
      </c>
      <c r="D8" s="6" t="n">
        <v>200</v>
      </c>
      <c r="E8" s="6" t="n">
        <v>350</v>
      </c>
      <c r="F8" s="6">
        <f>C8*D8</f>
        <v/>
      </c>
      <c r="G8" s="6">
        <f>C8*E8</f>
        <v/>
      </c>
      <c r="H8" s="6" t="n">
        <v>250</v>
      </c>
      <c r="I8" s="6" t="n"/>
      <c r="J8" s="6">
        <f>IF(I8="","",H8-I8)</f>
        <v/>
      </c>
      <c r="K8" s="3" t="inlineStr">
        <is>
          <t>未预订</t>
        </is>
      </c>
      <c r="L8" s="3" t="n"/>
      <c r="M8" s="3" t="n"/>
      <c r="N8" s="3" t="inlineStr">
        <is>
          <t>酒店和景区停车</t>
        </is>
      </c>
    </row>
    <row r="9">
      <c r="A9" s="3" t="inlineStr">
        <is>
          <t>住宿</t>
        </is>
      </c>
      <c r="B9" s="3" t="inlineStr">
        <is>
          <t>海口2间房×1晚</t>
        </is>
      </c>
      <c r="C9" s="3" t="n">
        <v>2</v>
      </c>
      <c r="D9" s="6" t="n">
        <v>350</v>
      </c>
      <c r="E9" s="6" t="n">
        <v>450</v>
      </c>
      <c r="F9" s="6">
        <f>C9*D9</f>
        <v/>
      </c>
      <c r="G9" s="6">
        <f>C9*E9</f>
        <v/>
      </c>
      <c r="H9" s="6" t="n">
        <v>700</v>
      </c>
      <c r="I9" s="6" t="n"/>
      <c r="J9" s="6">
        <f>IF(I9="","",H9-I9)</f>
        <v/>
      </c>
      <c r="K9" s="3" t="inlineStr">
        <is>
          <t>未预订</t>
        </is>
      </c>
      <c r="L9" s="3" t="n"/>
      <c r="M9" s="3" t="n"/>
      <c r="N9" s="3" t="inlineStr">
        <is>
          <t>舒适过渡型</t>
        </is>
      </c>
    </row>
    <row r="10">
      <c r="A10" s="3" t="inlineStr">
        <is>
          <t>住宿</t>
        </is>
      </c>
      <c r="B10" s="3" t="inlineStr">
        <is>
          <t>万宁2间房×1晚</t>
        </is>
      </c>
      <c r="C10" s="3" t="n">
        <v>2</v>
      </c>
      <c r="D10" s="6" t="n">
        <v>550</v>
      </c>
      <c r="E10" s="6" t="n">
        <v>700</v>
      </c>
      <c r="F10" s="6">
        <f>C10*D10</f>
        <v/>
      </c>
      <c r="G10" s="6">
        <f>C10*E10</f>
        <v/>
      </c>
      <c r="H10" s="6" t="n">
        <v>1200</v>
      </c>
      <c r="I10" s="6" t="n"/>
      <c r="J10" s="6">
        <f>IF(I10="","",H10-I10)</f>
        <v/>
      </c>
      <c r="K10" s="3" t="inlineStr">
        <is>
          <t>未预订</t>
        </is>
      </c>
      <c r="L10" s="3" t="n"/>
      <c r="M10" s="3" t="n"/>
      <c r="N10" s="3" t="inlineStr">
        <is>
          <t>海湾舒适型</t>
        </is>
      </c>
    </row>
    <row r="11">
      <c r="A11" s="3" t="inlineStr">
        <is>
          <t>住宿</t>
        </is>
      </c>
      <c r="B11" s="3" t="inlineStr">
        <is>
          <t>陵水2间房×2晚</t>
        </is>
      </c>
      <c r="C11" s="3" t="n">
        <v>4</v>
      </c>
      <c r="D11" s="6" t="n">
        <v>450</v>
      </c>
      <c r="E11" s="6" t="n">
        <v>600</v>
      </c>
      <c r="F11" s="6">
        <f>C11*D11</f>
        <v/>
      </c>
      <c r="G11" s="6">
        <f>C11*E11</f>
        <v/>
      </c>
      <c r="H11" s="6" t="n">
        <v>2000</v>
      </c>
      <c r="I11" s="6" t="n"/>
      <c r="J11" s="6">
        <f>IF(I11="","",H11-I11)</f>
        <v/>
      </c>
      <c r="K11" s="3" t="inlineStr">
        <is>
          <t>未预订</t>
        </is>
      </c>
      <c r="L11" s="3" t="n"/>
      <c r="M11" s="3" t="n"/>
      <c r="N11" s="3" t="inlineStr">
        <is>
          <t>清水湾亲子舒适型</t>
        </is>
      </c>
    </row>
    <row r="12">
      <c r="A12" s="3" t="inlineStr">
        <is>
          <t>住宿</t>
        </is>
      </c>
      <c r="B12" s="3" t="inlineStr">
        <is>
          <t>三亚2间房×3晚</t>
        </is>
      </c>
      <c r="C12" s="3" t="n">
        <v>6</v>
      </c>
      <c r="D12" s="6" t="n">
        <v>600</v>
      </c>
      <c r="E12" s="6" t="n">
        <v>800</v>
      </c>
      <c r="F12" s="6">
        <f>C12*D12</f>
        <v/>
      </c>
      <c r="G12" s="6">
        <f>C12*E12</f>
        <v/>
      </c>
      <c r="H12" s="6" t="n">
        <v>3900</v>
      </c>
      <c r="I12" s="6" t="n"/>
      <c r="J12" s="6">
        <f>IF(I12="","",H12-I12)</f>
        <v/>
      </c>
      <c r="K12" s="3" t="inlineStr">
        <is>
          <t>未预订</t>
        </is>
      </c>
      <c r="L12" s="3" t="n"/>
      <c r="M12" s="3" t="n"/>
      <c r="N12" s="3" t="inlineStr">
        <is>
          <t>亚龙湾中档亲子度假型</t>
        </is>
      </c>
    </row>
    <row r="13">
      <c r="A13" s="3" t="inlineStr">
        <is>
          <t>餐饮</t>
        </is>
      </c>
      <c r="B13" s="3" t="inlineStr">
        <is>
          <t>五人家庭餐饮</t>
        </is>
      </c>
      <c r="C13" s="3" t="n">
        <v>8</v>
      </c>
      <c r="D13" s="6" t="n">
        <v>450</v>
      </c>
      <c r="E13" s="6" t="n">
        <v>600</v>
      </c>
      <c r="F13" s="6">
        <f>C13*D13</f>
        <v/>
      </c>
      <c r="G13" s="6">
        <f>C13*E13</f>
        <v/>
      </c>
      <c r="H13" s="6" t="n">
        <v>4000</v>
      </c>
      <c r="I13" s="6" t="n"/>
      <c r="J13" s="6">
        <f>IF(I13="","",H13-I13)</f>
        <v/>
      </c>
      <c r="K13" s="3" t="inlineStr">
        <is>
          <t>未预订</t>
        </is>
      </c>
      <c r="L13" s="3" t="n"/>
      <c r="M13" s="3" t="n"/>
      <c r="N13" s="3" t="inlineStr">
        <is>
          <t>含正餐、饮水、儿童零食</t>
        </is>
      </c>
    </row>
    <row r="14">
      <c r="A14" s="3" t="inlineStr">
        <is>
          <t>门票</t>
        </is>
      </c>
      <c r="B14" s="3" t="inlineStr">
        <is>
          <t>南湾猴岛家庭预算</t>
        </is>
      </c>
      <c r="C14" s="3" t="n">
        <v>1</v>
      </c>
      <c r="D14" s="6" t="n">
        <v>500</v>
      </c>
      <c r="E14" s="6" t="n">
        <v>650</v>
      </c>
      <c r="F14" s="6">
        <f>C14*D14</f>
        <v/>
      </c>
      <c r="G14" s="6">
        <f>C14*E14</f>
        <v/>
      </c>
      <c r="H14" s="6" t="n">
        <v>550</v>
      </c>
      <c r="I14" s="6" t="n"/>
      <c r="J14" s="6">
        <f>IF(I14="","",H14-I14)</f>
        <v/>
      </c>
      <c r="K14" s="3" t="inlineStr">
        <is>
          <t>未预订</t>
        </is>
      </c>
      <c r="L14" s="3" t="n"/>
      <c r="M14" s="3" t="n"/>
      <c r="N14" s="3" t="inlineStr">
        <is>
          <t>按3成人+2儿童估算，按身高年龄复核</t>
        </is>
      </c>
    </row>
    <row r="15">
      <c r="A15" s="3" t="inlineStr">
        <is>
          <t>门票</t>
        </is>
      </c>
      <c r="B15" s="3" t="inlineStr">
        <is>
          <t>亚特兰蒂斯水族馆家庭预算</t>
        </is>
      </c>
      <c r="C15" s="3" t="n">
        <v>1</v>
      </c>
      <c r="D15" s="6" t="n">
        <v>900</v>
      </c>
      <c r="E15" s="6" t="n">
        <v>1300</v>
      </c>
      <c r="F15" s="6">
        <f>C15*D15</f>
        <v/>
      </c>
      <c r="G15" s="6">
        <f>C15*E15</f>
        <v/>
      </c>
      <c r="H15" s="6" t="n">
        <v>1050</v>
      </c>
      <c r="I15" s="6" t="n"/>
      <c r="J15" s="6">
        <f>IF(I15="","",H15-I15)</f>
        <v/>
      </c>
      <c r="K15" s="3" t="inlineStr">
        <is>
          <t>未预订</t>
        </is>
      </c>
      <c r="L15" s="3" t="n"/>
      <c r="M15" s="3" t="n"/>
      <c r="N15" s="3" t="inlineStr">
        <is>
          <t>优先家庭套票或可靠平台优惠</t>
        </is>
      </c>
    </row>
    <row r="16">
      <c r="A16" s="3" t="inlineStr">
        <is>
          <t>保障</t>
        </is>
      </c>
      <c r="B16" s="3" t="inlineStr">
        <is>
          <t>旅行意外险</t>
        </is>
      </c>
      <c r="C16" s="3" t="n">
        <v>5</v>
      </c>
      <c r="D16" s="6" t="n">
        <v>40</v>
      </c>
      <c r="E16" s="6" t="n">
        <v>80</v>
      </c>
      <c r="F16" s="6">
        <f>C16*D16</f>
        <v/>
      </c>
      <c r="G16" s="6">
        <f>C16*E16</f>
        <v/>
      </c>
      <c r="H16" s="6" t="n">
        <v>250</v>
      </c>
      <c r="I16" s="6" t="n"/>
      <c r="J16" s="6">
        <f>IF(I16="","",H16-I16)</f>
        <v/>
      </c>
      <c r="K16" s="3" t="inlineStr">
        <is>
          <t>未预订</t>
        </is>
      </c>
      <c r="L16" s="3" t="n"/>
      <c r="M16" s="3" t="n"/>
      <c r="N16" s="3" t="inlineStr">
        <is>
          <t>确认涉水项目和儿童保障</t>
        </is>
      </c>
    </row>
    <row r="17">
      <c r="A17" s="3" t="inlineStr">
        <is>
          <t>保障</t>
        </is>
      </c>
      <c r="B17" s="3" t="inlineStr">
        <is>
          <t>药品、防晒和防蚊</t>
        </is>
      </c>
      <c r="C17" s="3" t="n">
        <v>1</v>
      </c>
      <c r="D17" s="6" t="n">
        <v>200</v>
      </c>
      <c r="E17" s="6" t="n">
        <v>400</v>
      </c>
      <c r="F17" s="6">
        <f>C17*D17</f>
        <v/>
      </c>
      <c r="G17" s="6">
        <f>C17*E17</f>
        <v/>
      </c>
      <c r="H17" s="6" t="n">
        <v>250</v>
      </c>
      <c r="I17" s="6" t="n"/>
      <c r="J17" s="6">
        <f>IF(I17="","",H17-I17)</f>
        <v/>
      </c>
      <c r="K17" s="3" t="inlineStr">
        <is>
          <t>未预订</t>
        </is>
      </c>
      <c r="L17" s="3" t="n"/>
      <c r="M17" s="3" t="n"/>
      <c r="N17" s="3" t="inlineStr">
        <is>
          <t>出发前准备</t>
        </is>
      </c>
    </row>
    <row r="18">
      <c r="A18" s="3" t="inlineStr">
        <is>
          <t>其他</t>
        </is>
      </c>
      <c r="B18" s="3" t="inlineStr">
        <is>
          <t>机动预算</t>
        </is>
      </c>
      <c r="C18" s="3" t="n">
        <v>1</v>
      </c>
      <c r="D18" s="6" t="n">
        <v>300</v>
      </c>
      <c r="E18" s="6" t="n">
        <v>700</v>
      </c>
      <c r="F18" s="6">
        <f>C18*D18</f>
        <v/>
      </c>
      <c r="G18" s="6">
        <f>C18*E18</f>
        <v/>
      </c>
      <c r="H18" s="6" t="n">
        <v>620</v>
      </c>
      <c r="I18" s="6" t="n"/>
      <c r="J18" s="6">
        <f>IF(I18="","",H18-I18)</f>
        <v/>
      </c>
      <c r="K18" s="3" t="inlineStr">
        <is>
          <t>未预订</t>
        </is>
      </c>
      <c r="L18" s="3" t="n"/>
      <c r="M18" s="3" t="n"/>
      <c r="N18" s="3" t="inlineStr">
        <is>
          <t>用于价格波动；不单列大额购物</t>
        </is>
      </c>
    </row>
    <row r="19">
      <c r="A19" s="7" t="inlineStr">
        <is>
          <t>合计</t>
        </is>
      </c>
      <c r="B19" s="7" t="n"/>
      <c r="C19" s="7" t="n"/>
      <c r="D19" s="8" t="n"/>
      <c r="E19" s="8" t="n"/>
      <c r="F19" s="8">
        <f>SUM(F2:F18)</f>
        <v/>
      </c>
      <c r="G19" s="8">
        <f>SUM(G2:G18)</f>
        <v/>
      </c>
      <c r="H19" s="8">
        <f>SUM(H2:H18)</f>
        <v/>
      </c>
      <c r="I19" s="8">
        <f>SUM(I2:I18)</f>
        <v/>
      </c>
      <c r="J19" s="8">
        <f>H19-I19</f>
        <v/>
      </c>
      <c r="K19" s="7" t="n"/>
      <c r="L19" s="7" t="n"/>
      <c r="M19" s="7" t="n"/>
      <c r="N19" s="7" t="n"/>
    </row>
  </sheetData>
  <autoFilter ref="A1:N19"/>
  <conditionalFormatting sqref="I2:I18">
    <cfRule type="colorScale" priority="1">
      <colorScale>
        <cfvo type="min"/>
        <cfvo type="percentile" val="50"/>
        <cfvo type="max"/>
        <color rgb="00E9F8EE"/>
        <color rgb="00FFF4D8"/>
        <color rgb="00FADBD8"/>
      </colorScale>
    </cfRule>
  </conditionalFormatting>
  <dataValidations count="1">
    <dataValidation sqref="K2:K18" showDropDown="0" showInputMessage="0" showErrorMessage="0" allowBlank="1" type="list">
      <formula1>"未预订,待确认,已预订,已支付,已取消"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2" customWidth="1" min="4" max="4"/>
    <col width="22" customWidth="1" min="5" max="5"/>
    <col width="22" customWidth="1" min="6" max="6"/>
    <col width="52" customWidth="1" min="7" max="7"/>
    <col width="30" customWidth="1" min="8" max="8"/>
    <col width="13" customWidth="1" min="9" max="9"/>
  </cols>
  <sheetData>
    <row r="1" ht="30" customHeight="1">
      <c r="A1" s="1" t="inlineStr">
        <is>
          <t>城市</t>
        </is>
      </c>
      <c r="B1" s="1" t="inlineStr">
        <is>
          <t>晚数</t>
        </is>
      </c>
      <c r="C1" s="1" t="inlineStr">
        <is>
          <t>间夜</t>
        </is>
      </c>
      <c r="D1" s="1" t="inlineStr">
        <is>
          <t>区域</t>
        </is>
      </c>
      <c r="E1" s="1" t="inlineStr">
        <is>
          <t>档次</t>
        </is>
      </c>
      <c r="F1" s="1" t="inlineStr">
        <is>
          <t>预算</t>
        </is>
      </c>
      <c r="G1" s="1" t="inlineStr">
        <is>
          <t>筛选条件</t>
        </is>
      </c>
      <c r="H1" s="1" t="inlineStr">
        <is>
          <t>候选酒店</t>
        </is>
      </c>
      <c r="I1" s="1" t="inlineStr">
        <is>
          <t>订单状态</t>
        </is>
      </c>
    </row>
    <row r="2">
      <c r="A2" s="3" t="inlineStr">
        <is>
          <t>海口</t>
        </is>
      </c>
      <c r="B2" s="3" t="n">
        <v>1</v>
      </c>
      <c r="C2" s="3" t="n">
        <v>2</v>
      </c>
      <c r="D2" s="3" t="inlineStr">
        <is>
          <t>骑楼老街 / 国贸</t>
        </is>
      </c>
      <c r="E2" s="3" t="inlineStr">
        <is>
          <t>舒适过渡型</t>
        </is>
      </c>
      <c r="F2" s="3" t="inlineStr">
        <is>
          <t>350–450元/间/晚</t>
        </is>
      </c>
      <c r="G2" s="3" t="inlineStr">
        <is>
          <t>停车方便、早餐、可晚到、距主干道不远</t>
        </is>
      </c>
      <c r="H2" s="3" t="n"/>
      <c r="I2" s="3" t="inlineStr">
        <is>
          <t>未预订</t>
        </is>
      </c>
    </row>
    <row r="3">
      <c r="A3" s="3" t="inlineStr">
        <is>
          <t>万宁</t>
        </is>
      </c>
      <c r="B3" s="3" t="n">
        <v>1</v>
      </c>
      <c r="C3" s="3" t="n">
        <v>2</v>
      </c>
      <c r="D3" s="3" t="inlineStr">
        <is>
          <t>石梅湾 / 兴隆</t>
        </is>
      </c>
      <c r="E3" s="3" t="inlineStr">
        <is>
          <t>海湾舒适型</t>
        </is>
      </c>
      <c r="F3" s="3" t="inlineStr">
        <is>
          <t>550–700元/间/晚</t>
        </is>
      </c>
      <c r="G3" s="3" t="inlineStr">
        <is>
          <t>儿童泳池、室内儿童区、靠近兴隆植物园</t>
        </is>
      </c>
      <c r="H3" s="3" t="n"/>
      <c r="I3" s="3" t="inlineStr">
        <is>
          <t>未预订</t>
        </is>
      </c>
    </row>
    <row r="4">
      <c r="A4" s="3" t="inlineStr">
        <is>
          <t>陵水</t>
        </is>
      </c>
      <c r="B4" s="3" t="n">
        <v>2</v>
      </c>
      <c r="C4" s="3" t="n">
        <v>4</v>
      </c>
      <c r="D4" s="3" t="inlineStr">
        <is>
          <t>清水湾</t>
        </is>
      </c>
      <c r="E4" s="3" t="inlineStr">
        <is>
          <t>亲子舒适型</t>
        </is>
      </c>
      <c r="F4" s="3" t="inlineStr">
        <is>
          <t>450–600元/间/晚</t>
        </is>
      </c>
      <c r="G4" s="3" t="inlineStr">
        <is>
          <t>连续住两晚、停车、泳池、室内雨天活动</t>
        </is>
      </c>
      <c r="H4" s="3" t="n"/>
      <c r="I4" s="3" t="inlineStr">
        <is>
          <t>未预订</t>
        </is>
      </c>
    </row>
    <row r="5">
      <c r="A5" s="3" t="inlineStr">
        <is>
          <t>三亚</t>
        </is>
      </c>
      <c r="B5" s="3" t="n">
        <v>3</v>
      </c>
      <c r="C5" s="3" t="n">
        <v>6</v>
      </c>
      <c r="D5" s="3" t="inlineStr">
        <is>
          <t>亚龙湾</t>
        </is>
      </c>
      <c r="E5" s="3" t="inlineStr">
        <is>
          <t>中档亲子度假型</t>
        </is>
      </c>
      <c r="F5" s="3" t="inlineStr">
        <is>
          <t>600–800元/间/晚</t>
        </is>
      </c>
      <c r="G5" s="3" t="inlineStr">
        <is>
          <t>连续住三晚、儿童俱乐部、指定海滩、早餐政策</t>
        </is>
      </c>
      <c r="H5" s="3" t="n"/>
      <c r="I5" s="3" t="inlineStr">
        <is>
          <t>未预订</t>
        </is>
      </c>
    </row>
  </sheetData>
  <autoFilter ref="A1:I5"/>
  <dataValidations count="1">
    <dataValidation sqref="I2:I5" showDropDown="0" showInputMessage="0" showErrorMessage="0" allowBlank="1" type="list">
      <formula1>"未预订,待确认,已预订,已支付,已取消"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3" customWidth="1" min="3" max="3"/>
    <col width="16" customWidth="1" min="4" max="4"/>
    <col width="36" customWidth="1" min="5" max="5"/>
  </cols>
  <sheetData>
    <row r="1" ht="30" customHeight="1">
      <c r="A1" s="1" t="inlineStr">
        <is>
          <t>类别</t>
        </is>
      </c>
      <c r="B1" s="1" t="inlineStr">
        <is>
          <t>物品/事项</t>
        </is>
      </c>
      <c r="C1" s="1" t="inlineStr">
        <is>
          <t>状态</t>
        </is>
      </c>
      <c r="D1" s="1" t="inlineStr">
        <is>
          <t>负责人</t>
        </is>
      </c>
      <c r="E1" s="1" t="inlineStr">
        <is>
          <t>备注</t>
        </is>
      </c>
    </row>
    <row r="2">
      <c r="A2" s="3" t="inlineStr">
        <is>
          <t>证件</t>
        </is>
      </c>
      <c r="B2" s="3" t="inlineStr">
        <is>
          <t>3位成人身份证、驾驶证</t>
        </is>
      </c>
      <c r="C2" s="3" t="inlineStr">
        <is>
          <t>未完成</t>
        </is>
      </c>
      <c r="D2" s="3" t="n"/>
      <c r="E2" s="3" t="n"/>
    </row>
    <row r="3">
      <c r="A3" s="3" t="inlineStr">
        <is>
          <t>证件</t>
        </is>
      </c>
      <c r="B3" s="3" t="inlineStr">
        <is>
          <t>2名儿童身份证/户口簿或可接受的乘机证件</t>
        </is>
      </c>
      <c r="C3" s="3" t="inlineStr">
        <is>
          <t>未完成</t>
        </is>
      </c>
      <c r="D3" s="3" t="n"/>
      <c r="E3" s="3" t="n"/>
    </row>
    <row r="4">
      <c r="A4" s="3" t="inlineStr">
        <is>
          <t>证件</t>
        </is>
      </c>
      <c r="B4" s="3" t="inlineStr">
        <is>
          <t>机票、酒店、租车、门票订单离线截图</t>
        </is>
      </c>
      <c r="C4" s="3" t="inlineStr">
        <is>
          <t>未完成</t>
        </is>
      </c>
      <c r="D4" s="3" t="n"/>
      <c r="E4" s="3" t="n"/>
    </row>
    <row r="5">
      <c r="A5" s="3" t="inlineStr">
        <is>
          <t>租车</t>
        </is>
      </c>
      <c r="B5" s="3" t="inlineStr">
        <is>
          <t>宽敞五座SUV、后排宽度和行李空间确认</t>
        </is>
      </c>
      <c r="C5" s="3" t="inlineStr">
        <is>
          <t>未完成</t>
        </is>
      </c>
      <c r="D5" s="3" t="n"/>
      <c r="E5" s="3" t="n"/>
    </row>
    <row r="6">
      <c r="A6" s="3" t="inlineStr">
        <is>
          <t>租车</t>
        </is>
      </c>
      <c r="B6" s="3" t="inlineStr">
        <is>
          <t>两套儿童安全座椅/增高垫确认</t>
        </is>
      </c>
      <c r="C6" s="3" t="inlineStr">
        <is>
          <t>未完成</t>
        </is>
      </c>
      <c r="D6" s="3" t="n"/>
      <c r="E6" s="3" t="n"/>
    </row>
    <row r="7">
      <c r="A7" s="3" t="inlineStr">
        <is>
          <t>租车</t>
        </is>
      </c>
      <c r="B7" s="3" t="inlineStr">
        <is>
          <t>试装后第三位成人可以正常坐下并独立系安全带</t>
        </is>
      </c>
      <c r="C7" s="3" t="inlineStr">
        <is>
          <t>未完成</t>
        </is>
      </c>
      <c r="D7" s="3" t="n"/>
      <c r="E7" s="3" t="n"/>
    </row>
    <row r="8">
      <c r="A8" s="3" t="inlineStr">
        <is>
          <t>租车</t>
        </is>
      </c>
      <c r="B8" s="3" t="inlineStr">
        <is>
          <t>异地还车费、保险、押金、里程限制确认</t>
        </is>
      </c>
      <c r="C8" s="3" t="inlineStr">
        <is>
          <t>未完成</t>
        </is>
      </c>
      <c r="D8" s="3" t="n"/>
      <c r="E8" s="3" t="n"/>
    </row>
    <row r="9">
      <c r="A9" s="3" t="inlineStr">
        <is>
          <t>租车</t>
        </is>
      </c>
      <c r="B9" s="3" t="inlineStr">
        <is>
          <t>提车360度视频、轮胎、雨刷、刹车、油量</t>
        </is>
      </c>
      <c r="C9" s="3" t="inlineStr">
        <is>
          <t>未完成</t>
        </is>
      </c>
      <c r="D9" s="3" t="n"/>
      <c r="E9" s="3" t="n"/>
    </row>
    <row r="10">
      <c r="A10" s="3" t="inlineStr">
        <is>
          <t>健康</t>
        </is>
      </c>
      <c r="B10" s="3" t="inlineStr">
        <is>
          <t>儿童常用退热、过敏、肠胃和晕车药</t>
        </is>
      </c>
      <c r="C10" s="3" t="inlineStr">
        <is>
          <t>未完成</t>
        </is>
      </c>
      <c r="D10" s="3" t="n"/>
      <c r="E10" s="3" t="n"/>
    </row>
    <row r="11">
      <c r="A11" s="3" t="inlineStr">
        <is>
          <t>健康</t>
        </is>
      </c>
      <c r="B11" s="3" t="inlineStr">
        <is>
          <t>成人常用药、创可贴、体温计</t>
        </is>
      </c>
      <c r="C11" s="3" t="inlineStr">
        <is>
          <t>未完成</t>
        </is>
      </c>
      <c r="D11" s="3" t="n"/>
      <c r="E11" s="3" t="n"/>
    </row>
    <row r="12">
      <c r="A12" s="3" t="inlineStr">
        <is>
          <t>防护</t>
        </is>
      </c>
      <c r="B12" s="3" t="inlineStr">
        <is>
          <t>SPF50+防晒、遮阳帽、太阳镜、防晒衣</t>
        </is>
      </c>
      <c r="C12" s="3" t="inlineStr">
        <is>
          <t>未完成</t>
        </is>
      </c>
      <c r="D12" s="3" t="n"/>
      <c r="E12" s="3" t="n"/>
    </row>
    <row r="13">
      <c r="A13" s="3" t="inlineStr">
        <is>
          <t>防护</t>
        </is>
      </c>
      <c r="B13" s="3" t="inlineStr">
        <is>
          <t>驱蚊液、雨衣、折叠伞、防水袋</t>
        </is>
      </c>
      <c r="C13" s="3" t="inlineStr">
        <is>
          <t>未完成</t>
        </is>
      </c>
      <c r="D13" s="3" t="n"/>
      <c r="E13" s="3" t="n"/>
    </row>
    <row r="14">
      <c r="A14" s="3" t="inlineStr">
        <is>
          <t>亲水</t>
        </is>
      </c>
      <c r="B14" s="3" t="inlineStr">
        <is>
          <t>儿童救生衣或确认酒店可提供</t>
        </is>
      </c>
      <c r="C14" s="3" t="inlineStr">
        <is>
          <t>未完成</t>
        </is>
      </c>
      <c r="D14" s="3" t="n"/>
      <c r="E14" s="3" t="n"/>
    </row>
    <row r="15">
      <c r="A15" s="3" t="inlineStr">
        <is>
          <t>亲水</t>
        </is>
      </c>
      <c r="B15" s="3" t="inlineStr">
        <is>
          <t>泳衣、沙滩鞋、浴巾、换洗衣袋</t>
        </is>
      </c>
      <c r="C15" s="3" t="inlineStr">
        <is>
          <t>未完成</t>
        </is>
      </c>
      <c r="D15" s="3" t="n"/>
      <c r="E15" s="3" t="n"/>
    </row>
    <row r="16">
      <c r="A16" s="3" t="inlineStr">
        <is>
          <t>儿童</t>
        </is>
      </c>
      <c r="B16" s="3" t="inlineStr">
        <is>
          <t>水杯、零食、湿巾、安静玩具、联系卡</t>
        </is>
      </c>
      <c r="C16" s="3" t="inlineStr">
        <is>
          <t>未完成</t>
        </is>
      </c>
      <c r="D16" s="3" t="n"/>
      <c r="E16" s="3" t="n"/>
    </row>
    <row r="17">
      <c r="A17" s="3" t="inlineStr">
        <is>
          <t>电子</t>
        </is>
      </c>
      <c r="B17" s="3" t="inlineStr">
        <is>
          <t>充电器、充电宝、车载充电线</t>
        </is>
      </c>
      <c r="C17" s="3" t="inlineStr">
        <is>
          <t>未完成</t>
        </is>
      </c>
      <c r="D17" s="3" t="n"/>
      <c r="E17" s="3" t="n"/>
    </row>
    <row r="18">
      <c r="A18" s="3" t="inlineStr">
        <is>
          <t>天气</t>
        </is>
      </c>
      <c r="B18" s="3" t="inlineStr">
        <is>
          <t>出发前72小时复核台风、海浪和航班</t>
        </is>
      </c>
      <c r="C18" s="3" t="inlineStr">
        <is>
          <t>未完成</t>
        </is>
      </c>
      <c r="D18" s="3" t="n"/>
      <c r="E18" s="3" t="n"/>
    </row>
    <row r="19">
      <c r="A19" s="3" t="inlineStr">
        <is>
          <t>返程</t>
        </is>
      </c>
      <c r="B19" s="3" t="inlineStr">
        <is>
          <t>凤凰机场还车网点和摆渡时间</t>
        </is>
      </c>
      <c r="C19" s="3" t="inlineStr">
        <is>
          <t>未完成</t>
        </is>
      </c>
      <c r="D19" s="3" t="n"/>
      <c r="E19" s="3" t="n"/>
    </row>
  </sheetData>
  <autoFilter ref="A1:E19"/>
  <dataValidations count="1">
    <dataValidation sqref="C2:C19" showDropDown="0" showInputMessage="0" showErrorMessage="0" allowBlank="0" type="list">
      <formula1>"未完成,已完成,不适用"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2" customWidth="1" min="3" max="3"/>
    <col width="40" customWidth="1" min="4" max="4"/>
  </cols>
  <sheetData>
    <row r="1" ht="30" customHeight="1">
      <c r="A1" s="1" t="inlineStr">
        <is>
          <t>类型</t>
        </is>
      </c>
      <c r="B1" s="1" t="inlineStr">
        <is>
          <t>名称</t>
        </is>
      </c>
      <c r="C1" s="1" t="inlineStr">
        <is>
          <t>链接</t>
        </is>
      </c>
      <c r="D1" s="1" t="inlineStr">
        <is>
          <t>说明</t>
        </is>
      </c>
    </row>
    <row r="2">
      <c r="A2" s="3" t="inlineStr">
        <is>
          <t>高德导航</t>
        </is>
      </c>
      <c r="B2" s="3" t="inlineStr">
        <is>
          <t>海口美兰国际机场</t>
        </is>
      </c>
      <c r="C2" s="5" t="inlineStr">
        <is>
          <t>https://uri.amap.com/search?keyword=%E6%B5%B7%E5%8F%A3%E7%BE%8E%E5%85%B0%E5%9B%BD%E9%99%85%E6%9C%BA%E5%9C%BA&amp;city=%E6%B5%B7%E5%8F%A3&amp;callnative=1</t>
        </is>
      </c>
      <c r="D2" s="3" t="inlineStr">
        <is>
          <t>海口搜索入口</t>
        </is>
      </c>
    </row>
    <row r="3">
      <c r="A3" s="3" t="inlineStr">
        <is>
          <t>高德导航</t>
        </is>
      </c>
      <c r="B3" s="3" t="inlineStr">
        <is>
          <t>骑楼老街</t>
        </is>
      </c>
      <c r="C3" s="5" t="inlineStr">
        <is>
          <t>https://uri.amap.com/search?keyword=%E6%B5%B7%E5%8F%A3%E9%AA%91%E6%A5%BC%E8%80%81%E8%A1%97&amp;city=%E6%B5%B7%E5%8F%A3&amp;callnative=1</t>
        </is>
      </c>
      <c r="D3" s="3" t="inlineStr">
        <is>
          <t>海口搜索入口</t>
        </is>
      </c>
    </row>
    <row r="4">
      <c r="A4" s="3" t="inlineStr">
        <is>
          <t>高德导航</t>
        </is>
      </c>
      <c r="B4" s="3" t="inlineStr">
        <is>
          <t>石梅湾</t>
        </is>
      </c>
      <c r="C4" s="5" t="inlineStr">
        <is>
          <t>https://uri.amap.com/search?keyword=%E4%B8%87%E5%AE%81%E7%9F%B3%E6%A2%85%E6%B9%BE&amp;city=%E4%B8%87%E5%AE%81&amp;callnative=1</t>
        </is>
      </c>
      <c r="D4" s="3" t="inlineStr">
        <is>
          <t>万宁搜索入口</t>
        </is>
      </c>
    </row>
    <row r="5">
      <c r="A5" s="3" t="inlineStr">
        <is>
          <t>高德导航</t>
        </is>
      </c>
      <c r="B5" s="3" t="inlineStr">
        <is>
          <t>兴隆镇</t>
        </is>
      </c>
      <c r="C5" s="5" t="inlineStr">
        <is>
          <t>https://uri.amap.com/search?keyword=%E4%B8%87%E5%AE%81%E5%85%B4%E9%9A%86%E9%95%87&amp;city=%E4%B8%87%E5%AE%81&amp;callnative=1</t>
        </is>
      </c>
      <c r="D5" s="3" t="inlineStr">
        <is>
          <t>万宁搜索入口</t>
        </is>
      </c>
    </row>
    <row r="6">
      <c r="A6" s="3" t="inlineStr">
        <is>
          <t>高德导航</t>
        </is>
      </c>
      <c r="B6" s="3" t="inlineStr">
        <is>
          <t>兴隆热带植物园</t>
        </is>
      </c>
      <c r="C6" s="5" t="inlineStr">
        <is>
          <t>https://uri.amap.com/search?keyword=%E5%85%B4%E9%9A%86%E7%83%AD%E5%B8%A6%E6%A4%8D%E7%89%A9%E5%9B%AD&amp;city=%E4%B8%87%E5%AE%81&amp;callnative=1</t>
        </is>
      </c>
      <c r="D6" s="3" t="inlineStr">
        <is>
          <t>万宁搜索入口</t>
        </is>
      </c>
    </row>
    <row r="7">
      <c r="A7" s="3" t="inlineStr">
        <is>
          <t>高德导航</t>
        </is>
      </c>
      <c r="B7" s="3" t="inlineStr">
        <is>
          <t>清水湾</t>
        </is>
      </c>
      <c r="C7" s="5" t="inlineStr">
        <is>
          <t>https://uri.amap.com/search?keyword=%E9%99%B5%E6%B0%B4%E6%B8%85%E6%B0%B4%E6%B9%BE&amp;city=%E9%99%B5%E6%B0%B4&amp;callnative=1</t>
        </is>
      </c>
      <c r="D7" s="3" t="inlineStr">
        <is>
          <t>陵水搜索入口</t>
        </is>
      </c>
    </row>
    <row r="8">
      <c r="A8" s="3" t="inlineStr">
        <is>
          <t>高德导航</t>
        </is>
      </c>
      <c r="B8" s="3" t="inlineStr">
        <is>
          <t>南湾猴岛</t>
        </is>
      </c>
      <c r="C8" s="5" t="inlineStr">
        <is>
          <t>https://uri.amap.com/search?keyword=%E5%8D%97%E6%B9%BE%E7%8C%B4%E5%B2%9B%E7%94%9F%E6%80%81%E6%97%85%E6%B8%B8%E5%8C%BA&amp;city=%E9%99%B5%E6%B0%B4&amp;callnative=1</t>
        </is>
      </c>
      <c r="D8" s="3" t="inlineStr">
        <is>
          <t>陵水搜索入口</t>
        </is>
      </c>
    </row>
    <row r="9">
      <c r="A9" s="3" t="inlineStr">
        <is>
          <t>高德导航</t>
        </is>
      </c>
      <c r="B9" s="3" t="inlineStr">
        <is>
          <t>海南海洋欢乐世界</t>
        </is>
      </c>
      <c r="C9" s="5" t="inlineStr">
        <is>
          <t>https://uri.amap.com/search?keyword=%E6%B5%B7%E5%8D%97%E6%B5%B7%E6%B4%8B%E6%AC%A2%E4%B9%90%E4%B8%96%E7%95%8C%E5%BA%A6%E5%81%87%E5%8C%BA&amp;city=%E9%99%B5%E6%B0%B4&amp;callnative=1</t>
        </is>
      </c>
      <c r="D9" s="3" t="inlineStr">
        <is>
          <t>陵水搜索入口</t>
        </is>
      </c>
    </row>
    <row r="10">
      <c r="A10" s="3" t="inlineStr">
        <is>
          <t>高德导航</t>
        </is>
      </c>
      <c r="B10" s="3" t="inlineStr">
        <is>
          <t>陵水清水湾</t>
        </is>
      </c>
      <c r="C10" s="5" t="inlineStr">
        <is>
          <t>https://uri.amap.com/search?keyword=%E9%99%B5%E6%B0%B4%E6%B8%85%E6%B0%B4%E6%B9%BE&amp;city=%E9%99%B5%E6%B0%B4&amp;callnative=1</t>
        </is>
      </c>
      <c r="D10" s="3" t="inlineStr">
        <is>
          <t>陵水搜索入口</t>
        </is>
      </c>
    </row>
    <row r="11">
      <c r="A11" s="3" t="inlineStr">
        <is>
          <t>高德导航</t>
        </is>
      </c>
      <c r="B11" s="3" t="inlineStr">
        <is>
          <t>亚龙湾</t>
        </is>
      </c>
      <c r="C11" s="5" t="inlineStr">
        <is>
          <t>https://uri.amap.com/search?keyword=%E4%B8%89%E4%BA%9A%E4%BA%9A%E9%BE%99%E6%B9%BE%E5%9B%BD%E5%AE%B6%E6%97%85%E6%B8%B8%E5%BA%A6%E5%81%87%E5%8C%BA&amp;city=%E4%B8%89%E4%BA%9A&amp;callnative=1</t>
        </is>
      </c>
      <c r="D11" s="3" t="inlineStr">
        <is>
          <t>三亚搜索入口</t>
        </is>
      </c>
    </row>
    <row r="12">
      <c r="A12" s="3" t="inlineStr">
        <is>
          <t>高德导航</t>
        </is>
      </c>
      <c r="B12" s="3" t="inlineStr">
        <is>
          <t>海棠湾</t>
        </is>
      </c>
      <c r="C12" s="5" t="inlineStr">
        <is>
          <t>https://uri.amap.com/search?keyword=%E4%B8%89%E4%BA%9A%E6%B5%B7%E6%A3%A0%E6%B9%BE&amp;city=%E4%B8%89%E4%BA%9A&amp;callnative=1</t>
        </is>
      </c>
      <c r="D12" s="3" t="inlineStr">
        <is>
          <t>三亚搜索入口</t>
        </is>
      </c>
    </row>
    <row r="13">
      <c r="A13" s="3" t="inlineStr">
        <is>
          <t>高德导航</t>
        </is>
      </c>
      <c r="B13" s="3" t="inlineStr">
        <is>
          <t>失落的空间水族馆</t>
        </is>
      </c>
      <c r="C13" s="5" t="inlineStr">
        <is>
          <t>https://uri.amap.com/search?keyword=%E4%B8%89%E4%BA%9A%E4%BA%9A%E7%89%B9%E5%85%B0%E8%92%82%E6%96%AF%E5%A4%B1%E8%90%BD%E7%9A%84%E7%A9%BA%E9%97%B4%E6%B0%B4%E6%97%8F%E9%A6%86&amp;city=%E4%B8%89%E4%BA%9A&amp;callnative=1</t>
        </is>
      </c>
      <c r="D13" s="3" t="inlineStr">
        <is>
          <t>三亚搜索入口</t>
        </is>
      </c>
    </row>
    <row r="14">
      <c r="A14" s="3" t="inlineStr">
        <is>
          <t>高德导航</t>
        </is>
      </c>
      <c r="B14" s="3" t="inlineStr">
        <is>
          <t>亚龙湾酒店区</t>
        </is>
      </c>
      <c r="C14" s="5" t="inlineStr">
        <is>
          <t>https://uri.amap.com/search?keyword=%E4%B8%89%E4%BA%9A%E4%BA%9A%E9%BE%99%E6%B9%BE%E4%B8%AD%E5%BF%83%E5%B9%BF%E5%9C%BA&amp;city=%E4%B8%89%E4%BA%9A&amp;callnative=1</t>
        </is>
      </c>
      <c r="D14" s="3" t="inlineStr">
        <is>
          <t>三亚搜索入口</t>
        </is>
      </c>
    </row>
    <row r="15">
      <c r="A15" s="3" t="inlineStr">
        <is>
          <t>高德导航</t>
        </is>
      </c>
      <c r="B15" s="3" t="inlineStr">
        <is>
          <t>鹿回头风景区</t>
        </is>
      </c>
      <c r="C15" s="5" t="inlineStr">
        <is>
          <t>https://uri.amap.com/search?keyword=%E4%B8%89%E4%BA%9A%E9%B9%BF%E5%9B%9E%E5%A4%B4%E9%A3%8E%E6%99%AF%E5%8C%BA&amp;city=%E4%B8%89%E4%BA%9A&amp;callnative=1</t>
        </is>
      </c>
      <c r="D15" s="3" t="inlineStr">
        <is>
          <t>三亚搜索入口</t>
        </is>
      </c>
    </row>
    <row r="16">
      <c r="A16" s="3" t="inlineStr">
        <is>
          <t>高德导航</t>
        </is>
      </c>
      <c r="B16" s="3" t="inlineStr">
        <is>
          <t>三亚湾椰梦长廊</t>
        </is>
      </c>
      <c r="C16" s="5" t="inlineStr">
        <is>
          <t>https://uri.amap.com/search?keyword=%E4%B8%89%E4%BA%9A%E6%B9%BE%E6%A4%B0%E6%A2%A6%E9%95%BF%E5%BB%8A&amp;city=%E4%B8%89%E4%BA%9A&amp;callnative=1</t>
        </is>
      </c>
      <c r="D16" s="3" t="inlineStr">
        <is>
          <t>三亚搜索入口</t>
        </is>
      </c>
    </row>
    <row r="17">
      <c r="A17" s="3" t="inlineStr">
        <is>
          <t>高德导航</t>
        </is>
      </c>
      <c r="B17" s="3" t="inlineStr">
        <is>
          <t>第一市场</t>
        </is>
      </c>
      <c r="C17" s="5" t="inlineStr">
        <is>
          <t>https://uri.amap.com/search?keyword=%E4%B8%89%E4%BA%9A%E7%AC%AC%E4%B8%80%E5%B8%82%E5%9C%BA&amp;city=%E4%B8%89%E4%BA%9A&amp;callnative=1</t>
        </is>
      </c>
      <c r="D17" s="3" t="inlineStr">
        <is>
          <t>三亚搜索入口</t>
        </is>
      </c>
    </row>
    <row r="18">
      <c r="A18" s="3" t="inlineStr">
        <is>
          <t>高德导航</t>
        </is>
      </c>
      <c r="B18" s="3" t="inlineStr">
        <is>
          <t>三亚凤凰国际机场</t>
        </is>
      </c>
      <c r="C18" s="5" t="inlineStr">
        <is>
          <t>https://uri.amap.com/search?keyword=%E4%B8%89%E4%BA%9A%E5%87%A4%E5%87%B0%E5%9B%BD%E9%99%85%E6%9C%BA%E5%9C%BA&amp;city=%E4%B8%89%E4%BA%9A&amp;callnative=1</t>
        </is>
      </c>
      <c r="D18" s="3" t="inlineStr">
        <is>
          <t>三亚搜索入口</t>
        </is>
      </c>
    </row>
    <row r="19">
      <c r="A19" s="3" t="inlineStr">
        <is>
          <t>资料来源</t>
        </is>
      </c>
      <c r="B19" s="3" t="inlineStr">
        <is>
          <t>2026年下半年海南热带气旋与强降雨风险</t>
        </is>
      </c>
      <c r="C19" s="5" t="inlineStr">
        <is>
          <t>http://www.ce.cn/xwzx/gnsz/gdxw/202607/t20260715_3088395.shtml</t>
        </is>
      </c>
      <c r="D19" s="3" t="inlineStr">
        <is>
          <t>整理日期 2026-07-21</t>
        </is>
      </c>
    </row>
    <row r="20">
      <c r="A20" s="3" t="inlineStr">
        <is>
          <t>资料来源</t>
        </is>
      </c>
      <c r="B20" s="3" t="inlineStr">
        <is>
          <t>海南暑期涉海和雷雨安全提示</t>
        </is>
      </c>
      <c r="C20" s="5" t="inlineStr">
        <is>
          <t>http://www.qxkp.net/tjzx/202508/t20250807_7261073.html</t>
        </is>
      </c>
      <c r="D20" s="3" t="inlineStr">
        <is>
          <t>整理日期 2026-07-21</t>
        </is>
      </c>
    </row>
    <row r="21">
      <c r="A21" s="3" t="inlineStr">
        <is>
          <t>资料来源</t>
        </is>
      </c>
      <c r="B21" s="3" t="inlineStr">
        <is>
          <t>海口骑楼老街运营方</t>
        </is>
      </c>
      <c r="C21" s="5" t="inlineStr">
        <is>
          <t>http://www.qiloulaojie.com/</t>
        </is>
      </c>
      <c r="D21" s="3" t="inlineStr">
        <is>
          <t>整理日期 2026-07-21</t>
        </is>
      </c>
    </row>
    <row r="22">
      <c r="A22" s="3" t="inlineStr">
        <is>
          <t>资料来源</t>
        </is>
      </c>
      <c r="B22" s="3" t="inlineStr">
        <is>
          <t>兴隆热带植物园官网</t>
        </is>
      </c>
      <c r="C22" s="5" t="inlineStr">
        <is>
          <t>http://www.xlrdzwy.com/</t>
        </is>
      </c>
      <c r="D22" s="3" t="inlineStr">
        <is>
          <t>整理日期 2026-07-21</t>
        </is>
      </c>
    </row>
    <row r="23">
      <c r="A23" s="3" t="inlineStr">
        <is>
          <t>资料来源</t>
        </is>
      </c>
      <c r="B23" s="3" t="inlineStr">
        <is>
          <t>南湾猴岛官网</t>
        </is>
      </c>
      <c r="C23" s="5" t="inlineStr">
        <is>
          <t>http://www.monkeyisland.com.cn/cn/home</t>
        </is>
      </c>
      <c r="D23" s="3" t="inlineStr">
        <is>
          <t>整理日期 2026-07-21</t>
        </is>
      </c>
    </row>
    <row r="24">
      <c r="A24" s="3" t="inlineStr">
        <is>
          <t>资料来源</t>
        </is>
      </c>
      <c r="B24" s="3" t="inlineStr">
        <is>
          <t>海南海洋欢乐世界官网</t>
        </is>
      </c>
      <c r="C24" s="5" t="inlineStr">
        <is>
          <t>https://www.opresort.cn/web/flhy/index.html</t>
        </is>
      </c>
      <c r="D24" s="3" t="inlineStr">
        <is>
          <t>整理日期 2026-07-21</t>
        </is>
      </c>
    </row>
    <row r="25">
      <c r="A25" s="3" t="inlineStr">
        <is>
          <t>资料来源</t>
        </is>
      </c>
      <c r="B25" s="3" t="inlineStr">
        <is>
          <t>三亚亚特兰蒂斯官网</t>
        </is>
      </c>
      <c r="C25" s="5" t="inlineStr">
        <is>
          <t>https://www.atlantissanya.cn/</t>
        </is>
      </c>
      <c r="D25" s="3" t="inlineStr">
        <is>
          <t>整理日期 2026-07-21</t>
        </is>
      </c>
    </row>
    <row r="26">
      <c r="A26" s="3" t="inlineStr">
        <is>
          <t>资料来源</t>
        </is>
      </c>
      <c r="B26" s="3" t="inlineStr">
        <is>
          <t>海南省交通运输厅2026租车提示（微信文章）</t>
        </is>
      </c>
      <c r="C26" s="5" t="inlineStr">
        <is>
          <t>https://mp.weixin.qq.com/s/zvRLSowwASpPIRJWAIzVcQ</t>
        </is>
      </c>
      <c r="D26" s="3" t="inlineStr">
        <is>
          <t>整理日期 2026-07-21</t>
        </is>
      </c>
    </row>
    <row r="27">
      <c r="A27" s="3" t="inlineStr">
        <is>
          <t>应急导航</t>
        </is>
      </c>
      <c r="B27" s="3" t="inlineStr">
        <is>
          <t>海口医院导航</t>
        </is>
      </c>
      <c r="C27" s="5" t="inlineStr">
        <is>
          <t>https://uri.amap.com/search?keyword=%E6%B5%B7%E5%8D%97%E7%9C%81%E4%BA%BA%E6%B0%91%E5%8C%BB%E9%99%A2&amp;city=%E6%B5%B7%E5%8F%A3&amp;callnative=1</t>
        </is>
      </c>
      <c r="D27" s="3" t="inlineStr">
        <is>
          <t>按实际位置选择最近院区</t>
        </is>
      </c>
    </row>
    <row r="28">
      <c r="A28" s="3" t="inlineStr">
        <is>
          <t>应急导航</t>
        </is>
      </c>
      <c r="B28" s="3" t="inlineStr">
        <is>
          <t>万宁医院导航</t>
        </is>
      </c>
      <c r="C28" s="5" t="inlineStr">
        <is>
          <t>https://uri.amap.com/search?keyword=%E4%B8%87%E5%AE%81%E5%B8%82%E4%BA%BA%E6%B0%91%E5%8C%BB%E9%99%A2&amp;city=%E4%B8%87%E5%AE%81&amp;callnative=1</t>
        </is>
      </c>
      <c r="D28" s="3" t="inlineStr">
        <is>
          <t>仅作快速导航入口</t>
        </is>
      </c>
    </row>
    <row r="29">
      <c r="A29" s="3" t="inlineStr">
        <is>
          <t>应急导航</t>
        </is>
      </c>
      <c r="B29" s="3" t="inlineStr">
        <is>
          <t>陵水医院导航</t>
        </is>
      </c>
      <c r="C29" s="5" t="inlineStr">
        <is>
          <t>https://uri.amap.com/search?keyword=%E9%99%B5%E6%B0%B4%E9%BB%8E%E6%97%8F%E8%87%AA%E6%B2%BB%E5%8E%BF%E4%BA%BA%E6%B0%91%E5%8C%BB%E9%99%A2&amp;city=%E9%99%B5%E6%B0%B4&amp;callnative=1</t>
        </is>
      </c>
      <c r="D29" s="3" t="inlineStr">
        <is>
          <t>仅作快速导航入口</t>
        </is>
      </c>
    </row>
    <row r="30">
      <c r="A30" s="3" t="inlineStr">
        <is>
          <t>应急导航</t>
        </is>
      </c>
      <c r="B30" s="3" t="inlineStr">
        <is>
          <t>三亚医院导航</t>
        </is>
      </c>
      <c r="C30" s="5" t="inlineStr">
        <is>
          <t>https://uri.amap.com/search?keyword=%E4%B8%89%E4%BA%9A%E4%B8%AD%E5%BF%83%E5%8C%BB%E9%99%A2&amp;city=%E4%B8%89%E4%BA%9A&amp;callnative=1</t>
        </is>
      </c>
      <c r="D30" s="3" t="inlineStr">
        <is>
          <t>仅作快速导航入口</t>
        </is>
      </c>
    </row>
  </sheetData>
  <autoFilter ref="A1:D3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70" customWidth="1" min="3" max="3"/>
  </cols>
  <sheetData>
    <row r="1" ht="30" customHeight="1">
      <c r="A1" s="1" t="inlineStr">
        <is>
          <t>项目</t>
        </is>
      </c>
      <c r="B1" s="1" t="inlineStr">
        <is>
          <t>电话/入口</t>
        </is>
      </c>
      <c r="C1" s="1" t="inlineStr">
        <is>
          <t>说明</t>
        </is>
      </c>
    </row>
    <row r="2">
      <c r="A2" s="3" t="inlineStr">
        <is>
          <t>报警</t>
        </is>
      </c>
      <c r="B2" s="3" t="inlineStr">
        <is>
          <t>110</t>
        </is>
      </c>
      <c r="C2" s="3" t="inlineStr">
        <is>
          <t>人身与治安紧急情况</t>
        </is>
      </c>
    </row>
    <row r="3">
      <c r="A3" s="3" t="inlineStr">
        <is>
          <t>急救</t>
        </is>
      </c>
      <c r="B3" s="3" t="inlineStr">
        <is>
          <t>120</t>
        </is>
      </c>
      <c r="C3" s="3" t="inlineStr">
        <is>
          <t>医疗紧急情况</t>
        </is>
      </c>
    </row>
    <row r="4">
      <c r="A4" s="3" t="inlineStr">
        <is>
          <t>交通事故</t>
        </is>
      </c>
      <c r="B4" s="3" t="inlineStr">
        <is>
          <t>122</t>
        </is>
      </c>
      <c r="C4" s="3" t="inlineStr">
        <is>
          <t>交通事故报警</t>
        </is>
      </c>
    </row>
    <row r="5">
      <c r="A5" s="3" t="inlineStr">
        <is>
          <t>交通运输服务</t>
        </is>
      </c>
      <c r="B5" s="3" t="inlineStr">
        <is>
          <t>12328</t>
        </is>
      </c>
      <c r="C5" s="3" t="inlineStr">
        <is>
          <t>租车/交通服务投诉咨询</t>
        </is>
      </c>
    </row>
    <row r="6">
      <c r="A6" s="3" t="inlineStr">
        <is>
          <t>政务与旅游协助</t>
        </is>
      </c>
      <c r="B6" s="3" t="inlineStr">
        <is>
          <t>12345</t>
        </is>
      </c>
      <c r="C6" s="3" t="inlineStr">
        <is>
          <t>综合投诉与协助</t>
        </is>
      </c>
    </row>
    <row r="7">
      <c r="A7" s="3" t="inlineStr">
        <is>
          <t>海口医院导航</t>
        </is>
      </c>
      <c r="B7" s="5" t="inlineStr">
        <is>
          <t>https://uri.amap.com/search?keyword=%E6%B5%B7%E5%8D%97%E7%9C%81%E4%BA%BA%E6%B0%91%E5%8C%BB%E9%99%A2&amp;city=%E6%B5%B7%E5%8F%A3&amp;callnative=1</t>
        </is>
      </c>
      <c r="C7" s="3" t="inlineStr">
        <is>
          <t>按实际位置选择最近院区</t>
        </is>
      </c>
    </row>
    <row r="8">
      <c r="A8" s="3" t="inlineStr">
        <is>
          <t>万宁医院导航</t>
        </is>
      </c>
      <c r="B8" s="5" t="inlineStr">
        <is>
          <t>https://uri.amap.com/search?keyword=%E4%B8%87%E5%AE%81%E5%B8%82%E4%BA%BA%E6%B0%91%E5%8C%BB%E9%99%A2&amp;city=%E4%B8%87%E5%AE%81&amp;callnative=1</t>
        </is>
      </c>
      <c r="C8" s="3" t="inlineStr">
        <is>
          <t>仅作快速导航入口</t>
        </is>
      </c>
    </row>
    <row r="9">
      <c r="A9" s="3" t="inlineStr">
        <is>
          <t>陵水医院导航</t>
        </is>
      </c>
      <c r="B9" s="5" t="inlineStr">
        <is>
          <t>https://uri.amap.com/search?keyword=%E9%99%B5%E6%B0%B4%E9%BB%8E%E6%97%8F%E8%87%AA%E6%B2%BB%E5%8E%BF%E4%BA%BA%E6%B0%91%E5%8C%BB%E9%99%A2&amp;city=%E9%99%B5%E6%B0%B4&amp;callnative=1</t>
        </is>
      </c>
      <c r="C9" s="3" t="inlineStr">
        <is>
          <t>仅作快速导航入口</t>
        </is>
      </c>
    </row>
    <row r="10">
      <c r="A10" s="3" t="inlineStr">
        <is>
          <t>三亚医院导航</t>
        </is>
      </c>
      <c r="B10" s="5" t="inlineStr">
        <is>
          <t>https://uri.amap.com/search?keyword=%E4%B8%89%E4%BA%9A%E4%B8%AD%E5%BF%83%E5%8C%BB%E9%99%A2&amp;city=%E4%B8%89%E4%BA%9A&amp;callnative=1</t>
        </is>
      </c>
      <c r="C10" s="3" t="inlineStr">
        <is>
          <t>仅作快速导航入口</t>
        </is>
      </c>
    </row>
    <row r="11">
      <c r="A11" s="3" t="inlineStr">
        <is>
          <t>台风处理</t>
        </is>
      </c>
      <c r="B11" s="3" t="inlineStr">
        <is>
          <t>先联系航司、酒店、租车公司</t>
        </is>
      </c>
      <c r="C11" s="3" t="inlineStr">
        <is>
          <t>不要在未确认改签/续住前急于退房还车</t>
        </is>
      </c>
    </row>
    <row r="12">
      <c r="A12" s="3" t="inlineStr">
        <is>
          <t>海滩安全</t>
        </is>
      </c>
      <c r="B12" s="3" t="inlineStr">
        <is>
          <t>只在明确开放区域活动</t>
        </is>
      </c>
      <c r="C12" s="3" t="inlineStr">
        <is>
          <t>雷电、风浪或红旗时立即离开海滩</t>
        </is>
      </c>
    </row>
  </sheetData>
  <autoFilter ref="A1:C12"/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2026-07-21T03:04:28Z</dcterms:created>
  <dcterms:modified xmlns:dcterms="http://purl.org/dc/terms/" xmlns:xsi="http://www.w3.org/2001/XMLSchema-instance" xsi:type="dcterms:W3CDTF">2026-07-21T03:04:29Z</dcterms:modified>
</cp:coreProperties>
</file>